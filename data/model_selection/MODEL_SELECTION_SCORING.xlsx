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ocuments" sheetId="2" state="visible" r:id="rId4"/>
    <sheet name="Raw Score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<sst xmlns="http://schemas.openxmlformats.org/spreadsheetml/2006/main" count="190" uniqueCount="97">
  <si>
    <t xml:space="preserve">MODEL SELECTION — MANUAL SCORING WORKBOOK</t>
  </si>
  <si>
    <t xml:space="preserve">Purpose</t>
  </si>
  <si>
    <t xml:space="preserve">This workbook supports the Phase A model-feasibility evaluation (15 documents x 5 runs = 75 outputs), per MODEL_SELECTION_PROTOCOL.md. Scoring is performed manually by a bilingual (EN/FR) evaluator comparing each English source document against its French model output.</t>
  </si>
  <si>
    <t xml:space="preserve">How to use this workbook</t>
  </si>
  <si>
    <t xml:space="preserve">1. 'Source Documents' tab: confirm the 15 frozen documents are listed (id + file path). Optionally paste each source excerpt for quick reference while scoring.</t>
  </si>
  <si>
    <t xml:space="preserve">2. 'Raw Scores' tab: the 75 rows (15 docs x 5 runs) are pre-generated. Paste each generated French output into the 'Output text (FR)' column, then fill in the four numeric criteria and the critical-error count.</t>
  </si>
  <si>
    <t xml:space="preserve">3. Only YELLOW cells should be edited. Every other cell is a formula and will recalculate automatically — do not overwrite them.</t>
  </si>
  <si>
    <t xml:space="preserve">4. 'Summary' tab: aggregate statistics update automatically as you score. The two threshold parameters at the top (yellow) are project design decisions — set them once, before scoring begins, per §9-10 of the master prompt (do not adjust them retroactively based on results).</t>
  </si>
  <si>
    <t xml:space="preserve">Scoring scale (criteria 1-4, per output)</t>
  </si>
  <si>
    <t xml:space="preserve">1 = Unacceptable — output is technically wrong or meaningless.</t>
  </si>
  <si>
    <t xml:space="preserve">2 = Poor — major issues, only partially usable.</t>
  </si>
  <si>
    <t xml:space="preserve">3 = Acceptable — usable but with noticeable weaknesses.</t>
  </si>
  <si>
    <t xml:space="preserve">4 = Good — minor issues only.</t>
  </si>
  <si>
    <t xml:space="preserve">5 = Excellent — no meaningful issues.</t>
  </si>
  <si>
    <t xml:space="preserve">This default rubric can be adjusted in MODEL_SELECTION_PROTOCOL.md; if changed, update this sheet to match — the two must stay consistent.</t>
  </si>
  <si>
    <t xml:space="preserve">Criteria definitions (per §8 of the master prompt)</t>
  </si>
  <si>
    <t xml:space="preserve">Technical correctness — is the technical content factually accurate?</t>
  </si>
  <si>
    <t xml:space="preserve">Technical meaningfulness — does the explanation convey real understanding, not just fluent-sounding text?</t>
  </si>
  <si>
    <t xml:space="preserve">Semantic preservation — does the French output preserve the meaning of the English source?</t>
  </si>
  <si>
    <t xml:space="preserve">Terminology handling — are established technical terms handled appropriately (kept when conventional, explained when useful) rather than translated literally term-by-term?</t>
  </si>
  <si>
    <t xml:space="preserve">Critical semantic errors — count of errors that invert or seriously distort meaning (e.g. negation dropped, a technical claim reversed). This is a count, not a 1-5 score.</t>
  </si>
  <si>
    <t xml:space="preserve">Notes column</t>
  </si>
  <si>
    <t xml:space="preserve">The 'Notes' column in Raw Scores is for your own reference only. Per §8 of the master prompt, the retention decision is based on the numeric scores, not on free-form comments — notes are not read into any formula.</t>
  </si>
  <si>
    <t xml:space="preserve">Legend</t>
  </si>
  <si>
    <t xml:space="preserve">Yellow fill = cell you edit</t>
  </si>
  <si>
    <t xml:space="preserve">White / no fill = formula, do not edit</t>
  </si>
  <si>
    <t xml:space="preserve">document_id</t>
  </si>
  <si>
    <t xml:space="preserve">file_path (relative to repo root)</t>
  </si>
  <si>
    <t xml:space="preserve">source_excerpt_EN (optional, for reference)</t>
  </si>
  <si>
    <t xml:space="preserve">doc_01</t>
  </si>
  <si>
    <t xml:space="preserve">data/documents/doc_01.txt</t>
  </si>
  <si>
    <t xml:space="preserve">doc_02</t>
  </si>
  <si>
    <t xml:space="preserve">data/documents/doc_02.txt</t>
  </si>
  <si>
    <t xml:space="preserve">doc_03</t>
  </si>
  <si>
    <t xml:space="preserve">data/documents/doc_03.txt</t>
  </si>
  <si>
    <t xml:space="preserve">doc_04</t>
  </si>
  <si>
    <t xml:space="preserve">data/documents/doc_04.txt</t>
  </si>
  <si>
    <t xml:space="preserve">doc_05</t>
  </si>
  <si>
    <t xml:space="preserve">data/documents/doc_05.txt</t>
  </si>
  <si>
    <t xml:space="preserve">doc_06</t>
  </si>
  <si>
    <t xml:space="preserve">data/documents/doc_06.txt</t>
  </si>
  <si>
    <t xml:space="preserve">doc_07</t>
  </si>
  <si>
    <t xml:space="preserve">data/documents/doc_07.txt</t>
  </si>
  <si>
    <t xml:space="preserve">doc_08</t>
  </si>
  <si>
    <t xml:space="preserve">data/documents/doc_08.txt</t>
  </si>
  <si>
    <t xml:space="preserve">doc_09</t>
  </si>
  <si>
    <t xml:space="preserve">data/documents/doc_09.txt</t>
  </si>
  <si>
    <t xml:space="preserve">doc_10</t>
  </si>
  <si>
    <t xml:space="preserve">data/documents/doc_10.txt</t>
  </si>
  <si>
    <t xml:space="preserve">doc_11</t>
  </si>
  <si>
    <t xml:space="preserve">data/documents/doc_11.txt</t>
  </si>
  <si>
    <t xml:space="preserve">doc_12</t>
  </si>
  <si>
    <t xml:space="preserve">data/documents/doc_12.txt</t>
  </si>
  <si>
    <t xml:space="preserve">doc_13</t>
  </si>
  <si>
    <t xml:space="preserve">data/documents/doc_13.txt</t>
  </si>
  <si>
    <t xml:space="preserve">doc_14</t>
  </si>
  <si>
    <t xml:space="preserve">data/documents/doc_14.txt</t>
  </si>
  <si>
    <t xml:space="preserve">doc_15</t>
  </si>
  <si>
    <t xml:space="preserve">data/documents/doc_15.txt</t>
  </si>
  <si>
    <t xml:space="preserve">output_id</t>
  </si>
  <si>
    <t xml:space="preserve">run_id</t>
  </si>
  <si>
    <t xml:space="preserve">output_text_FR</t>
  </si>
  <si>
    <t xml:space="preserve">technical_correctness (1-5)</t>
  </si>
  <si>
    <t xml:space="preserve">technical_meaningfulness (1-5)</t>
  </si>
  <si>
    <t xml:space="preserve">semantic_preservation (1-5)</t>
  </si>
  <si>
    <t xml:space="preserve">terminology_handling (1-5)</t>
  </si>
  <si>
    <t xml:space="preserve">critical_errors_count (0+)</t>
  </si>
  <si>
    <t xml:space="preserve">notes (not used in calc)</t>
  </si>
  <si>
    <t xml:space="preserve">mean_score</t>
  </si>
  <si>
    <t xml:space="preserve">result</t>
  </si>
  <si>
    <t xml:space="preserve">MODEL SELECTION — SUMMARY</t>
  </si>
  <si>
    <t xml:space="preserve">Retention thresholds (set BEFORE scoring begins — see §9-10)</t>
  </si>
  <si>
    <t xml:space="preserve">Per-output quality threshold (min mean_score to count as PASS)</t>
  </si>
  <si>
    <t xml:space="preserve">Editable. Applies to each output's mean of the 4 criteria (Raw Scores col K).</t>
  </si>
  <si>
    <t xml:space="preserve">Max critical errors per output still counted as PASS</t>
  </si>
  <si>
    <t xml:space="preserve">Editable. 0 = any critical error fails that output.</t>
  </si>
  <si>
    <t xml:space="preserve">Minimum proportion of outputs that must PASS for model retention</t>
  </si>
  <si>
    <t xml:space="preserve">Editable. E.g. 0.8 = at least 80% of the 75 outputs must PASS.</t>
  </si>
  <si>
    <t xml:space="preserve">Progress</t>
  </si>
  <si>
    <t xml:space="preserve">Outputs scored so far</t>
  </si>
  <si>
    <t xml:space="preserve">Outputs remaining</t>
  </si>
  <si>
    <t xml:space="preserve">Aggregate results (computed over scored outputs only)</t>
  </si>
  <si>
    <t xml:space="preserve">Mean score (all criteria, all scored outputs)</t>
  </si>
  <si>
    <t xml:space="preserve">Median score (all criteria, all scored outputs)</t>
  </si>
  <si>
    <t xml:space="preserve">Outputs meeting PASS criteria</t>
  </si>
  <si>
    <t xml:space="preserve">Proportion of scored outputs meeting PASS criteria</t>
  </si>
  <si>
    <t xml:space="preserve">Outputs with at least one critical error</t>
  </si>
  <si>
    <t xml:space="preserve">Proportion of scored outputs with a critical error</t>
  </si>
  <si>
    <t xml:space="preserve">Model selection decision</t>
  </si>
  <si>
    <t xml:space="preserve">Note: requires all 75 outputs scored (B8=75). Decision compares row 16 (proportion PASS) against the threshold in B5. Adjust the logic here if your retention rule differs — this is a starting formula, not a fixed rule.</t>
  </si>
  <si>
    <t xml:space="preserve">Score distribution by criterion</t>
  </si>
  <si>
    <t xml:space="preserve">Score</t>
  </si>
  <si>
    <t xml:space="preserve">Technical correctness</t>
  </si>
  <si>
    <t xml:space="preserve">Technical meaningfulness</t>
  </si>
  <si>
    <t xml:space="preserve">Semantic preservation</t>
  </si>
  <si>
    <t xml:space="preserve">Terminology handling</t>
  </si>
  <si>
    <t xml:space="preserve">Per-document mean (diagnostic — spot a systematically weak document)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</si>
</sst>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9.5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6.8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0" customFormat="false" ht="39.5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26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26.85" hidden="false" customHeight="false" outlineLevel="0" collapsed="false">
      <c r="A24" s="2" t="s">
        <v>19</v>
      </c>
    </row>
    <row r="25" customFormat="false" ht="26.8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39.55" hidden="false" customHeight="false" outlineLevel="0" collapsed="false">
      <c r="A28" s="2" t="s">
        <v>22</v>
      </c>
    </row>
    <row r="30" customFormat="false" ht="15" hidden="false" customHeight="false" outlineLevel="0" collapsed="false">
      <c r="A30" s="4" t="s">
        <v>23</v>
      </c>
    </row>
    <row r="31" customFormat="false" ht="15" hidden="false" customHeight="false" outlineLevel="0" collapsed="false">
      <c r="A31" s="5" t="s">
        <v>24</v>
      </c>
    </row>
    <row r="32" customFormat="false" ht="15" hidden="false" customHeight="false" outlineLevel="0" collapsed="false">
      <c r="A32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7" t="s">
        <v>26</v>
      </c>
      <c r="B1" s="7" t="s">
        <v>27</v>
      </c>
      <c r="C1" s="7" t="s">
        <v>28</v>
      </c>
    </row>
    <row r="2" customFormat="false" ht="30" hidden="false" customHeight="true" outlineLevel="0" collapsed="false">
      <c r="A2" s="8" t="s">
        <v>29</v>
      </c>
      <c r="B2" s="8" t="s">
        <v>30</v>
      </c>
      <c r="C2" s="9"/>
    </row>
    <row r="3" customFormat="false" ht="30" hidden="false" customHeight="true" outlineLevel="0" collapsed="false">
      <c r="A3" s="8" t="s">
        <v>31</v>
      </c>
      <c r="B3" s="8" t="s">
        <v>32</v>
      </c>
      <c r="C3" s="9"/>
    </row>
    <row r="4" customFormat="false" ht="30" hidden="false" customHeight="true" outlineLevel="0" collapsed="false">
      <c r="A4" s="8" t="s">
        <v>33</v>
      </c>
      <c r="B4" s="8" t="s">
        <v>34</v>
      </c>
      <c r="C4" s="9"/>
    </row>
    <row r="5" customFormat="false" ht="30" hidden="false" customHeight="true" outlineLevel="0" collapsed="false">
      <c r="A5" s="8" t="s">
        <v>35</v>
      </c>
      <c r="B5" s="8" t="s">
        <v>36</v>
      </c>
      <c r="C5" s="9"/>
    </row>
    <row r="6" customFormat="false" ht="30" hidden="false" customHeight="true" outlineLevel="0" collapsed="false">
      <c r="A6" s="8" t="s">
        <v>37</v>
      </c>
      <c r="B6" s="8" t="s">
        <v>38</v>
      </c>
      <c r="C6" s="9"/>
    </row>
    <row r="7" customFormat="false" ht="30" hidden="false" customHeight="true" outlineLevel="0" collapsed="false">
      <c r="A7" s="8" t="s">
        <v>39</v>
      </c>
      <c r="B7" s="8" t="s">
        <v>40</v>
      </c>
      <c r="C7" s="9"/>
    </row>
    <row r="8" customFormat="false" ht="30" hidden="false" customHeight="true" outlineLevel="0" collapsed="false">
      <c r="A8" s="8" t="s">
        <v>41</v>
      </c>
      <c r="B8" s="8" t="s">
        <v>42</v>
      </c>
      <c r="C8" s="9"/>
    </row>
    <row r="9" customFormat="false" ht="30" hidden="false" customHeight="true" outlineLevel="0" collapsed="false">
      <c r="A9" s="8" t="s">
        <v>43</v>
      </c>
      <c r="B9" s="8" t="s">
        <v>44</v>
      </c>
      <c r="C9" s="9"/>
    </row>
    <row r="10" customFormat="false" ht="30" hidden="false" customHeight="true" outlineLevel="0" collapsed="false">
      <c r="A10" s="8" t="s">
        <v>45</v>
      </c>
      <c r="B10" s="8" t="s">
        <v>46</v>
      </c>
      <c r="C10" s="9"/>
    </row>
    <row r="11" customFormat="false" ht="30" hidden="false" customHeight="true" outlineLevel="0" collapsed="false">
      <c r="A11" s="8" t="s">
        <v>47</v>
      </c>
      <c r="B11" s="8" t="s">
        <v>48</v>
      </c>
      <c r="C11" s="9"/>
    </row>
    <row r="12" customFormat="false" ht="30" hidden="false" customHeight="true" outlineLevel="0" collapsed="false">
      <c r="A12" s="8" t="s">
        <v>49</v>
      </c>
      <c r="B12" s="8" t="s">
        <v>50</v>
      </c>
      <c r="C12" s="9"/>
    </row>
    <row r="13" customFormat="false" ht="30" hidden="false" customHeight="true" outlineLevel="0" collapsed="false">
      <c r="A13" s="8" t="s">
        <v>51</v>
      </c>
      <c r="B13" s="8" t="s">
        <v>52</v>
      </c>
      <c r="C13" s="9"/>
    </row>
    <row r="14" customFormat="false" ht="30" hidden="false" customHeight="true" outlineLevel="0" collapsed="false">
      <c r="A14" s="8" t="s">
        <v>53</v>
      </c>
      <c r="B14" s="8" t="s">
        <v>54</v>
      </c>
      <c r="C14" s="9"/>
    </row>
    <row r="15" customFormat="false" ht="30" hidden="false" customHeight="true" outlineLevel="0" collapsed="false">
      <c r="A15" s="8" t="s">
        <v>55</v>
      </c>
      <c r="B15" s="8" t="s">
        <v>56</v>
      </c>
      <c r="C15" s="9"/>
    </row>
    <row r="16" customFormat="false" ht="30" hidden="false" customHeight="true" outlineLevel="0" collapsed="false">
      <c r="A16" s="8" t="s">
        <v>57</v>
      </c>
      <c r="B16" s="8" t="s">
        <v>58</v>
      </c>
      <c r="C1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9.55" hidden="false" customHeight="false" outlineLevel="0" collapsed="false">
      <c r="A1" s="7" t="s">
        <v>59</v>
      </c>
      <c r="B1" s="7" t="s">
        <v>26</v>
      </c>
      <c r="C1" s="7" t="s">
        <v>60</v>
      </c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</row>
    <row r="2" customFormat="false" ht="31.5" hidden="false" customHeight="true" outlineLevel="0" collapsed="false">
      <c r="A2" s="8" t="str">
        <f aca="false">B2&amp;"-R"&amp;C2</f>
        <v>doc_01-R1</v>
      </c>
      <c r="B2" s="10" t="s">
        <v>29</v>
      </c>
      <c r="C2" s="10" t="n">
        <v>1</v>
      </c>
      <c r="D2" s="9"/>
      <c r="E2" s="11"/>
      <c r="F2" s="11"/>
      <c r="G2" s="11"/>
      <c r="H2" s="11"/>
      <c r="I2" s="11"/>
      <c r="J2" s="9"/>
      <c r="K2" s="8" t="str">
        <f aca="false">IF(COUNT(E2:H2)=4,AVERAGE(E2:H2),"")</f>
        <v/>
      </c>
      <c r="L2" s="8" t="str">
        <f aca="false">IF(K2="","",IF(AND(K2&gt;=Summary!$B$3,I2&lt;=Summary!$B$4),"PASS","FAIL"))</f>
        <v/>
      </c>
    </row>
    <row r="3" customFormat="false" ht="31.5" hidden="false" customHeight="true" outlineLevel="0" collapsed="false">
      <c r="A3" s="8" t="str">
        <f aca="false">B3&amp;"-R"&amp;C3</f>
        <v>doc_01-R2</v>
      </c>
      <c r="B3" s="10" t="s">
        <v>29</v>
      </c>
      <c r="C3" s="10" t="n">
        <v>2</v>
      </c>
      <c r="D3" s="9"/>
      <c r="E3" s="11"/>
      <c r="F3" s="11"/>
      <c r="G3" s="11"/>
      <c r="H3" s="11"/>
      <c r="I3" s="11"/>
      <c r="J3" s="9"/>
      <c r="K3" s="8" t="str">
        <f aca="false">IF(COUNT(E3:H3)=4,AVERAGE(E3:H3),"")</f>
        <v/>
      </c>
      <c r="L3" s="8" t="str">
        <f aca="false">IF(K3="","",IF(AND(K3&gt;=Summary!$B$3,I3&lt;=Summary!$B$4),"PASS","FAIL"))</f>
        <v/>
      </c>
    </row>
    <row r="4" customFormat="false" ht="31.5" hidden="false" customHeight="true" outlineLevel="0" collapsed="false">
      <c r="A4" s="8" t="str">
        <f aca="false">B4&amp;"-R"&amp;C4</f>
        <v>doc_01-R3</v>
      </c>
      <c r="B4" s="10" t="s">
        <v>29</v>
      </c>
      <c r="C4" s="10" t="n">
        <v>3</v>
      </c>
      <c r="D4" s="9"/>
      <c r="E4" s="11"/>
      <c r="F4" s="11"/>
      <c r="G4" s="11"/>
      <c r="H4" s="11"/>
      <c r="I4" s="11"/>
      <c r="J4" s="9"/>
      <c r="K4" s="8" t="str">
        <f aca="false">IF(COUNT(E4:H4)=4,AVERAGE(E4:H4),"")</f>
        <v/>
      </c>
      <c r="L4" s="8" t="str">
        <f aca="false">IF(K4="","",IF(AND(K4&gt;=Summary!$B$3,I4&lt;=Summary!$B$4),"PASS","FAIL"))</f>
        <v/>
      </c>
    </row>
    <row r="5" customFormat="false" ht="31.5" hidden="false" customHeight="true" outlineLevel="0" collapsed="false">
      <c r="A5" s="8" t="str">
        <f aca="false">B5&amp;"-R"&amp;C5</f>
        <v>doc_01-R4</v>
      </c>
      <c r="B5" s="10" t="s">
        <v>29</v>
      </c>
      <c r="C5" s="10" t="n">
        <v>4</v>
      </c>
      <c r="D5" s="9"/>
      <c r="E5" s="11"/>
      <c r="F5" s="11"/>
      <c r="G5" s="11"/>
      <c r="H5" s="11"/>
      <c r="I5" s="11"/>
      <c r="J5" s="9"/>
      <c r="K5" s="8" t="str">
        <f aca="false">IF(COUNT(E5:H5)=4,AVERAGE(E5:H5),"")</f>
        <v/>
      </c>
      <c r="L5" s="8" t="str">
        <f aca="false">IF(K5="","",IF(AND(K5&gt;=Summary!$B$3,I5&lt;=Summary!$B$4),"PASS","FAIL"))</f>
        <v/>
      </c>
    </row>
    <row r="6" customFormat="false" ht="31.5" hidden="false" customHeight="true" outlineLevel="0" collapsed="false">
      <c r="A6" s="8" t="str">
        <f aca="false">B6&amp;"-R"&amp;C6</f>
        <v>doc_01-R5</v>
      </c>
      <c r="B6" s="10" t="s">
        <v>29</v>
      </c>
      <c r="C6" s="10" t="n">
        <v>5</v>
      </c>
      <c r="D6" s="9"/>
      <c r="E6" s="11"/>
      <c r="F6" s="11"/>
      <c r="G6" s="11"/>
      <c r="H6" s="11"/>
      <c r="I6" s="11"/>
      <c r="J6" s="9"/>
      <c r="K6" s="8" t="str">
        <f aca="false">IF(COUNT(E6:H6)=4,AVERAGE(E6:H6),"")</f>
        <v/>
      </c>
      <c r="L6" s="8" t="str">
        <f aca="false">IF(K6="","",IF(AND(K6&gt;=Summary!$B$3,I6&lt;=Summary!$B$4),"PASS","FAIL"))</f>
        <v/>
      </c>
    </row>
    <row r="7" customFormat="false" ht="31.5" hidden="false" customHeight="true" outlineLevel="0" collapsed="false">
      <c r="A7" s="8" t="str">
        <f aca="false">B7&amp;"-R"&amp;C7</f>
        <v>doc_02-R1</v>
      </c>
      <c r="B7" s="10" t="s">
        <v>31</v>
      </c>
      <c r="C7" s="10" t="n">
        <v>1</v>
      </c>
      <c r="D7" s="9"/>
      <c r="E7" s="11"/>
      <c r="F7" s="11"/>
      <c r="G7" s="11"/>
      <c r="H7" s="11"/>
      <c r="I7" s="11"/>
      <c r="J7" s="9"/>
      <c r="K7" s="8" t="str">
        <f aca="false">IF(COUNT(E7:H7)=4,AVERAGE(E7:H7),"")</f>
        <v/>
      </c>
      <c r="L7" s="8" t="str">
        <f aca="false">IF(K7="","",IF(AND(K7&gt;=Summary!$B$3,I7&lt;=Summary!$B$4),"PASS","FAIL"))</f>
        <v/>
      </c>
    </row>
    <row r="8" customFormat="false" ht="31.5" hidden="false" customHeight="true" outlineLevel="0" collapsed="false">
      <c r="A8" s="8" t="str">
        <f aca="false">B8&amp;"-R"&amp;C8</f>
        <v>doc_02-R2</v>
      </c>
      <c r="B8" s="10" t="s">
        <v>31</v>
      </c>
      <c r="C8" s="10" t="n">
        <v>2</v>
      </c>
      <c r="D8" s="9"/>
      <c r="E8" s="11"/>
      <c r="F8" s="11"/>
      <c r="G8" s="11"/>
      <c r="H8" s="11"/>
      <c r="I8" s="11"/>
      <c r="J8" s="9"/>
      <c r="K8" s="8" t="str">
        <f aca="false">IF(COUNT(E8:H8)=4,AVERAGE(E8:H8),"")</f>
        <v/>
      </c>
      <c r="L8" s="8" t="str">
        <f aca="false">IF(K8="","",IF(AND(K8&gt;=Summary!$B$3,I8&lt;=Summary!$B$4),"PASS","FAIL"))</f>
        <v/>
      </c>
    </row>
    <row r="9" customFormat="false" ht="31.5" hidden="false" customHeight="true" outlineLevel="0" collapsed="false">
      <c r="A9" s="8" t="str">
        <f aca="false">B9&amp;"-R"&amp;C9</f>
        <v>doc_02-R3</v>
      </c>
      <c r="B9" s="10" t="s">
        <v>31</v>
      </c>
      <c r="C9" s="10" t="n">
        <v>3</v>
      </c>
      <c r="D9" s="9"/>
      <c r="E9" s="11"/>
      <c r="F9" s="11"/>
      <c r="G9" s="11"/>
      <c r="H9" s="11"/>
      <c r="I9" s="11"/>
      <c r="J9" s="9"/>
      <c r="K9" s="8" t="str">
        <f aca="false">IF(COUNT(E9:H9)=4,AVERAGE(E9:H9),"")</f>
        <v/>
      </c>
      <c r="L9" s="8" t="str">
        <f aca="false">IF(K9="","",IF(AND(K9&gt;=Summary!$B$3,I9&lt;=Summary!$B$4),"PASS","FAIL"))</f>
        <v/>
      </c>
    </row>
    <row r="10" customFormat="false" ht="31.5" hidden="false" customHeight="true" outlineLevel="0" collapsed="false">
      <c r="A10" s="8" t="str">
        <f aca="false">B10&amp;"-R"&amp;C10</f>
        <v>doc_02-R4</v>
      </c>
      <c r="B10" s="10" t="s">
        <v>31</v>
      </c>
      <c r="C10" s="10" t="n">
        <v>4</v>
      </c>
      <c r="D10" s="9"/>
      <c r="E10" s="11"/>
      <c r="F10" s="11"/>
      <c r="G10" s="11"/>
      <c r="H10" s="11"/>
      <c r="I10" s="11"/>
      <c r="J10" s="9"/>
      <c r="K10" s="8" t="str">
        <f aca="false">IF(COUNT(E10:H10)=4,AVERAGE(E10:H10),"")</f>
        <v/>
      </c>
      <c r="L10" s="8" t="str">
        <f aca="false">IF(K10="","",IF(AND(K10&gt;=Summary!$B$3,I10&lt;=Summary!$B$4),"PASS","FAIL"))</f>
        <v/>
      </c>
    </row>
    <row r="11" customFormat="false" ht="31.5" hidden="false" customHeight="true" outlineLevel="0" collapsed="false">
      <c r="A11" s="8" t="str">
        <f aca="false">B11&amp;"-R"&amp;C11</f>
        <v>doc_02-R5</v>
      </c>
      <c r="B11" s="10" t="s">
        <v>31</v>
      </c>
      <c r="C11" s="10" t="n">
        <v>5</v>
      </c>
      <c r="D11" s="9"/>
      <c r="E11" s="11"/>
      <c r="F11" s="11"/>
      <c r="G11" s="11"/>
      <c r="H11" s="11"/>
      <c r="I11" s="11"/>
      <c r="J11" s="9"/>
      <c r="K11" s="8" t="str">
        <f aca="false">IF(COUNT(E11:H11)=4,AVERAGE(E11:H11),"")</f>
        <v/>
      </c>
      <c r="L11" s="8" t="str">
        <f aca="false">IF(K11="","",IF(AND(K11&gt;=Summary!$B$3,I11&lt;=Summary!$B$4),"PASS","FAIL"))</f>
        <v/>
      </c>
    </row>
    <row r="12" customFormat="false" ht="31.5" hidden="false" customHeight="true" outlineLevel="0" collapsed="false">
      <c r="A12" s="8" t="str">
        <f aca="false">B12&amp;"-R"&amp;C12</f>
        <v>doc_03-R1</v>
      </c>
      <c r="B12" s="10" t="s">
        <v>33</v>
      </c>
      <c r="C12" s="10" t="n">
        <v>1</v>
      </c>
      <c r="D12" s="9"/>
      <c r="E12" s="11"/>
      <c r="F12" s="11"/>
      <c r="G12" s="11"/>
      <c r="H12" s="11"/>
      <c r="I12" s="11"/>
      <c r="J12" s="9"/>
      <c r="K12" s="8" t="str">
        <f aca="false">IF(COUNT(E12:H12)=4,AVERAGE(E12:H12),"")</f>
        <v/>
      </c>
      <c r="L12" s="8" t="str">
        <f aca="false">IF(K12="","",IF(AND(K12&gt;=Summary!$B$3,I12&lt;=Summary!$B$4),"PASS","FAIL"))</f>
        <v/>
      </c>
    </row>
    <row r="13" customFormat="false" ht="31.5" hidden="false" customHeight="true" outlineLevel="0" collapsed="false">
      <c r="A13" s="8" t="str">
        <f aca="false">B13&amp;"-R"&amp;C13</f>
        <v>doc_03-R2</v>
      </c>
      <c r="B13" s="10" t="s">
        <v>33</v>
      </c>
      <c r="C13" s="10" t="n">
        <v>2</v>
      </c>
      <c r="D13" s="9"/>
      <c r="E13" s="11"/>
      <c r="F13" s="11"/>
      <c r="G13" s="11"/>
      <c r="H13" s="11"/>
      <c r="I13" s="11"/>
      <c r="J13" s="9"/>
      <c r="K13" s="8" t="str">
        <f aca="false">IF(COUNT(E13:H13)=4,AVERAGE(E13:H13),"")</f>
        <v/>
      </c>
      <c r="L13" s="8" t="str">
        <f aca="false">IF(K13="","",IF(AND(K13&gt;=Summary!$B$3,I13&lt;=Summary!$B$4),"PASS","FAIL"))</f>
        <v/>
      </c>
    </row>
    <row r="14" customFormat="false" ht="31.5" hidden="false" customHeight="true" outlineLevel="0" collapsed="false">
      <c r="A14" s="8" t="str">
        <f aca="false">B14&amp;"-R"&amp;C14</f>
        <v>doc_03-R3</v>
      </c>
      <c r="B14" s="10" t="s">
        <v>33</v>
      </c>
      <c r="C14" s="10" t="n">
        <v>3</v>
      </c>
      <c r="D14" s="9"/>
      <c r="E14" s="11"/>
      <c r="F14" s="11"/>
      <c r="G14" s="11"/>
      <c r="H14" s="11"/>
      <c r="I14" s="11"/>
      <c r="J14" s="9"/>
      <c r="K14" s="8" t="str">
        <f aca="false">IF(COUNT(E14:H14)=4,AVERAGE(E14:H14),"")</f>
        <v/>
      </c>
      <c r="L14" s="8" t="str">
        <f aca="false">IF(K14="","",IF(AND(K14&gt;=Summary!$B$3,I14&lt;=Summary!$B$4),"PASS","FAIL"))</f>
        <v/>
      </c>
    </row>
    <row r="15" customFormat="false" ht="31.5" hidden="false" customHeight="true" outlineLevel="0" collapsed="false">
      <c r="A15" s="8" t="str">
        <f aca="false">B15&amp;"-R"&amp;C15</f>
        <v>doc_03-R4</v>
      </c>
      <c r="B15" s="10" t="s">
        <v>33</v>
      </c>
      <c r="C15" s="10" t="n">
        <v>4</v>
      </c>
      <c r="D15" s="9"/>
      <c r="E15" s="11"/>
      <c r="F15" s="11"/>
      <c r="G15" s="11"/>
      <c r="H15" s="11"/>
      <c r="I15" s="11"/>
      <c r="J15" s="9"/>
      <c r="K15" s="8" t="str">
        <f aca="false">IF(COUNT(E15:H15)=4,AVERAGE(E15:H15),"")</f>
        <v/>
      </c>
      <c r="L15" s="8" t="str">
        <f aca="false">IF(K15="","",IF(AND(K15&gt;=Summary!$B$3,I15&lt;=Summary!$B$4),"PASS","FAIL"))</f>
        <v/>
      </c>
    </row>
    <row r="16" customFormat="false" ht="31.5" hidden="false" customHeight="true" outlineLevel="0" collapsed="false">
      <c r="A16" s="8" t="str">
        <f aca="false">B16&amp;"-R"&amp;C16</f>
        <v>doc_03-R5</v>
      </c>
      <c r="B16" s="10" t="s">
        <v>33</v>
      </c>
      <c r="C16" s="10" t="n">
        <v>5</v>
      </c>
      <c r="D16" s="9"/>
      <c r="E16" s="11"/>
      <c r="F16" s="11"/>
      <c r="G16" s="11"/>
      <c r="H16" s="11"/>
      <c r="I16" s="11"/>
      <c r="J16" s="9"/>
      <c r="K16" s="8" t="str">
        <f aca="false">IF(COUNT(E16:H16)=4,AVERAGE(E16:H16),"")</f>
        <v/>
      </c>
      <c r="L16" s="8" t="str">
        <f aca="false">IF(K16="","",IF(AND(K16&gt;=Summary!$B$3,I16&lt;=Summary!$B$4),"PASS","FAIL"))</f>
        <v/>
      </c>
    </row>
    <row r="17" customFormat="false" ht="31.5" hidden="false" customHeight="true" outlineLevel="0" collapsed="false">
      <c r="A17" s="8" t="str">
        <f aca="false">B17&amp;"-R"&amp;C17</f>
        <v>doc_04-R1</v>
      </c>
      <c r="B17" s="10" t="s">
        <v>35</v>
      </c>
      <c r="C17" s="10" t="n">
        <v>1</v>
      </c>
      <c r="D17" s="9"/>
      <c r="E17" s="11"/>
      <c r="F17" s="11"/>
      <c r="G17" s="11"/>
      <c r="H17" s="11"/>
      <c r="I17" s="11"/>
      <c r="J17" s="9"/>
      <c r="K17" s="8" t="str">
        <f aca="false">IF(COUNT(E17:H17)=4,AVERAGE(E17:H17),"")</f>
        <v/>
      </c>
      <c r="L17" s="8" t="str">
        <f aca="false">IF(K17="","",IF(AND(K17&gt;=Summary!$B$3,I17&lt;=Summary!$B$4),"PASS","FAIL"))</f>
        <v/>
      </c>
    </row>
    <row r="18" customFormat="false" ht="31.5" hidden="false" customHeight="true" outlineLevel="0" collapsed="false">
      <c r="A18" s="8" t="str">
        <f aca="false">B18&amp;"-R"&amp;C18</f>
        <v>doc_04-R2</v>
      </c>
      <c r="B18" s="10" t="s">
        <v>35</v>
      </c>
      <c r="C18" s="10" t="n">
        <v>2</v>
      </c>
      <c r="D18" s="9"/>
      <c r="E18" s="11"/>
      <c r="F18" s="11"/>
      <c r="G18" s="11"/>
      <c r="H18" s="11"/>
      <c r="I18" s="11"/>
      <c r="J18" s="9"/>
      <c r="K18" s="8" t="str">
        <f aca="false">IF(COUNT(E18:H18)=4,AVERAGE(E18:H18),"")</f>
        <v/>
      </c>
      <c r="L18" s="8" t="str">
        <f aca="false">IF(K18="","",IF(AND(K18&gt;=Summary!$B$3,I18&lt;=Summary!$B$4),"PASS","FAIL"))</f>
        <v/>
      </c>
    </row>
    <row r="19" customFormat="false" ht="31.5" hidden="false" customHeight="true" outlineLevel="0" collapsed="false">
      <c r="A19" s="8" t="str">
        <f aca="false">B19&amp;"-R"&amp;C19</f>
        <v>doc_04-R3</v>
      </c>
      <c r="B19" s="10" t="s">
        <v>35</v>
      </c>
      <c r="C19" s="10" t="n">
        <v>3</v>
      </c>
      <c r="D19" s="9"/>
      <c r="E19" s="11"/>
      <c r="F19" s="11"/>
      <c r="G19" s="11"/>
      <c r="H19" s="11"/>
      <c r="I19" s="11"/>
      <c r="J19" s="9"/>
      <c r="K19" s="8" t="str">
        <f aca="false">IF(COUNT(E19:H19)=4,AVERAGE(E19:H19),"")</f>
        <v/>
      </c>
      <c r="L19" s="8" t="str">
        <f aca="false">IF(K19="","",IF(AND(K19&gt;=Summary!$B$3,I19&lt;=Summary!$B$4),"PASS","FAIL"))</f>
        <v/>
      </c>
    </row>
    <row r="20" customFormat="false" ht="31.5" hidden="false" customHeight="true" outlineLevel="0" collapsed="false">
      <c r="A20" s="8" t="str">
        <f aca="false">B20&amp;"-R"&amp;C20</f>
        <v>doc_04-R4</v>
      </c>
      <c r="B20" s="10" t="s">
        <v>35</v>
      </c>
      <c r="C20" s="10" t="n">
        <v>4</v>
      </c>
      <c r="D20" s="9"/>
      <c r="E20" s="11"/>
      <c r="F20" s="11"/>
      <c r="G20" s="11"/>
      <c r="H20" s="11"/>
      <c r="I20" s="11"/>
      <c r="J20" s="9"/>
      <c r="K20" s="8" t="str">
        <f aca="false">IF(COUNT(E20:H20)=4,AVERAGE(E20:H20),"")</f>
        <v/>
      </c>
      <c r="L20" s="8" t="str">
        <f aca="false">IF(K20="","",IF(AND(K20&gt;=Summary!$B$3,I20&lt;=Summary!$B$4),"PASS","FAIL"))</f>
        <v/>
      </c>
    </row>
    <row r="21" customFormat="false" ht="31.5" hidden="false" customHeight="true" outlineLevel="0" collapsed="false">
      <c r="A21" s="8" t="str">
        <f aca="false">B21&amp;"-R"&amp;C21</f>
        <v>doc_04-R5</v>
      </c>
      <c r="B21" s="10" t="s">
        <v>35</v>
      </c>
      <c r="C21" s="10" t="n">
        <v>5</v>
      </c>
      <c r="D21" s="9"/>
      <c r="E21" s="11"/>
      <c r="F21" s="11"/>
      <c r="G21" s="11"/>
      <c r="H21" s="11"/>
      <c r="I21" s="11"/>
      <c r="J21" s="9"/>
      <c r="K21" s="8" t="str">
        <f aca="false">IF(COUNT(E21:H21)=4,AVERAGE(E21:H21),"")</f>
        <v/>
      </c>
      <c r="L21" s="8" t="str">
        <f aca="false">IF(K21="","",IF(AND(K21&gt;=Summary!$B$3,I21&lt;=Summary!$B$4),"PASS","FAIL"))</f>
        <v/>
      </c>
    </row>
    <row r="22" customFormat="false" ht="31.5" hidden="false" customHeight="true" outlineLevel="0" collapsed="false">
      <c r="A22" s="8" t="str">
        <f aca="false">B22&amp;"-R"&amp;C22</f>
        <v>doc_05-R1</v>
      </c>
      <c r="B22" s="10" t="s">
        <v>37</v>
      </c>
      <c r="C22" s="10" t="n">
        <v>1</v>
      </c>
      <c r="D22" s="9"/>
      <c r="E22" s="11"/>
      <c r="F22" s="11"/>
      <c r="G22" s="11"/>
      <c r="H22" s="11"/>
      <c r="I22" s="11"/>
      <c r="J22" s="9"/>
      <c r="K22" s="8" t="str">
        <f aca="false">IF(COUNT(E22:H22)=4,AVERAGE(E22:H22),"")</f>
        <v/>
      </c>
      <c r="L22" s="8" t="str">
        <f aca="false">IF(K22="","",IF(AND(K22&gt;=Summary!$B$3,I22&lt;=Summary!$B$4),"PASS","FAIL"))</f>
        <v/>
      </c>
    </row>
    <row r="23" customFormat="false" ht="31.5" hidden="false" customHeight="true" outlineLevel="0" collapsed="false">
      <c r="A23" s="8" t="str">
        <f aca="false">B23&amp;"-R"&amp;C23</f>
        <v>doc_05-R2</v>
      </c>
      <c r="B23" s="10" t="s">
        <v>37</v>
      </c>
      <c r="C23" s="10" t="n">
        <v>2</v>
      </c>
      <c r="D23" s="9"/>
      <c r="E23" s="11"/>
      <c r="F23" s="11"/>
      <c r="G23" s="11"/>
      <c r="H23" s="11"/>
      <c r="I23" s="11"/>
      <c r="J23" s="9"/>
      <c r="K23" s="8" t="str">
        <f aca="false">IF(COUNT(E23:H23)=4,AVERAGE(E23:H23),"")</f>
        <v/>
      </c>
      <c r="L23" s="8" t="str">
        <f aca="false">IF(K23="","",IF(AND(K23&gt;=Summary!$B$3,I23&lt;=Summary!$B$4),"PASS","FAIL"))</f>
        <v/>
      </c>
    </row>
    <row r="24" customFormat="false" ht="31.5" hidden="false" customHeight="true" outlineLevel="0" collapsed="false">
      <c r="A24" s="8" t="str">
        <f aca="false">B24&amp;"-R"&amp;C24</f>
        <v>doc_05-R3</v>
      </c>
      <c r="B24" s="10" t="s">
        <v>37</v>
      </c>
      <c r="C24" s="10" t="n">
        <v>3</v>
      </c>
      <c r="D24" s="9"/>
      <c r="E24" s="11"/>
      <c r="F24" s="11"/>
      <c r="G24" s="11"/>
      <c r="H24" s="11"/>
      <c r="I24" s="11"/>
      <c r="J24" s="9"/>
      <c r="K24" s="8" t="str">
        <f aca="false">IF(COUNT(E24:H24)=4,AVERAGE(E24:H24),"")</f>
        <v/>
      </c>
      <c r="L24" s="8" t="str">
        <f aca="false">IF(K24="","",IF(AND(K24&gt;=Summary!$B$3,I24&lt;=Summary!$B$4),"PASS","FAIL"))</f>
        <v/>
      </c>
    </row>
    <row r="25" customFormat="false" ht="31.5" hidden="false" customHeight="true" outlineLevel="0" collapsed="false">
      <c r="A25" s="8" t="str">
        <f aca="false">B25&amp;"-R"&amp;C25</f>
        <v>doc_05-R4</v>
      </c>
      <c r="B25" s="10" t="s">
        <v>37</v>
      </c>
      <c r="C25" s="10" t="n">
        <v>4</v>
      </c>
      <c r="D25" s="9"/>
      <c r="E25" s="11"/>
      <c r="F25" s="11"/>
      <c r="G25" s="11"/>
      <c r="H25" s="11"/>
      <c r="I25" s="11"/>
      <c r="J25" s="9"/>
      <c r="K25" s="8" t="str">
        <f aca="false">IF(COUNT(E25:H25)=4,AVERAGE(E25:H25),"")</f>
        <v/>
      </c>
      <c r="L25" s="8" t="str">
        <f aca="false">IF(K25="","",IF(AND(K25&gt;=Summary!$B$3,I25&lt;=Summary!$B$4),"PASS","FAIL"))</f>
        <v/>
      </c>
    </row>
    <row r="26" customFormat="false" ht="31.5" hidden="false" customHeight="true" outlineLevel="0" collapsed="false">
      <c r="A26" s="8" t="str">
        <f aca="false">B26&amp;"-R"&amp;C26</f>
        <v>doc_05-R5</v>
      </c>
      <c r="B26" s="10" t="s">
        <v>37</v>
      </c>
      <c r="C26" s="10" t="n">
        <v>5</v>
      </c>
      <c r="D26" s="9"/>
      <c r="E26" s="11"/>
      <c r="F26" s="11"/>
      <c r="G26" s="11"/>
      <c r="H26" s="11"/>
      <c r="I26" s="11"/>
      <c r="J26" s="9"/>
      <c r="K26" s="8" t="str">
        <f aca="false">IF(COUNT(E26:H26)=4,AVERAGE(E26:H26),"")</f>
        <v/>
      </c>
      <c r="L26" s="8" t="str">
        <f aca="false">IF(K26="","",IF(AND(K26&gt;=Summary!$B$3,I26&lt;=Summary!$B$4),"PASS","FAIL"))</f>
        <v/>
      </c>
    </row>
    <row r="27" customFormat="false" ht="31.5" hidden="false" customHeight="true" outlineLevel="0" collapsed="false">
      <c r="A27" s="8" t="str">
        <f aca="false">B27&amp;"-R"&amp;C27</f>
        <v>doc_06-R1</v>
      </c>
      <c r="B27" s="10" t="s">
        <v>39</v>
      </c>
      <c r="C27" s="10" t="n">
        <v>1</v>
      </c>
      <c r="D27" s="9"/>
      <c r="E27" s="11"/>
      <c r="F27" s="11"/>
      <c r="G27" s="11"/>
      <c r="H27" s="11"/>
      <c r="I27" s="11"/>
      <c r="J27" s="9"/>
      <c r="K27" s="8" t="str">
        <f aca="false">IF(COUNT(E27:H27)=4,AVERAGE(E27:H27),"")</f>
        <v/>
      </c>
      <c r="L27" s="8" t="str">
        <f aca="false">IF(K27="","",IF(AND(K27&gt;=Summary!$B$3,I27&lt;=Summary!$B$4),"PASS","FAIL"))</f>
        <v/>
      </c>
    </row>
    <row r="28" customFormat="false" ht="31.5" hidden="false" customHeight="true" outlineLevel="0" collapsed="false">
      <c r="A28" s="8" t="str">
        <f aca="false">B28&amp;"-R"&amp;C28</f>
        <v>doc_06-R2</v>
      </c>
      <c r="B28" s="10" t="s">
        <v>39</v>
      </c>
      <c r="C28" s="10" t="n">
        <v>2</v>
      </c>
      <c r="D28" s="9"/>
      <c r="E28" s="11"/>
      <c r="F28" s="11"/>
      <c r="G28" s="11"/>
      <c r="H28" s="11"/>
      <c r="I28" s="11"/>
      <c r="J28" s="9"/>
      <c r="K28" s="8" t="str">
        <f aca="false">IF(COUNT(E28:H28)=4,AVERAGE(E28:H28),"")</f>
        <v/>
      </c>
      <c r="L28" s="8" t="str">
        <f aca="false">IF(K28="","",IF(AND(K28&gt;=Summary!$B$3,I28&lt;=Summary!$B$4),"PASS","FAIL"))</f>
        <v/>
      </c>
    </row>
    <row r="29" customFormat="false" ht="31.5" hidden="false" customHeight="true" outlineLevel="0" collapsed="false">
      <c r="A29" s="8" t="str">
        <f aca="false">B29&amp;"-R"&amp;C29</f>
        <v>doc_06-R3</v>
      </c>
      <c r="B29" s="10" t="s">
        <v>39</v>
      </c>
      <c r="C29" s="10" t="n">
        <v>3</v>
      </c>
      <c r="D29" s="9"/>
      <c r="E29" s="11"/>
      <c r="F29" s="11"/>
      <c r="G29" s="11"/>
      <c r="H29" s="11"/>
      <c r="I29" s="11"/>
      <c r="J29" s="9"/>
      <c r="K29" s="8" t="str">
        <f aca="false">IF(COUNT(E29:H29)=4,AVERAGE(E29:H29),"")</f>
        <v/>
      </c>
      <c r="L29" s="8" t="str">
        <f aca="false">IF(K29="","",IF(AND(K29&gt;=Summary!$B$3,I29&lt;=Summary!$B$4),"PASS","FAIL"))</f>
        <v/>
      </c>
    </row>
    <row r="30" customFormat="false" ht="31.5" hidden="false" customHeight="true" outlineLevel="0" collapsed="false">
      <c r="A30" s="8" t="str">
        <f aca="false">B30&amp;"-R"&amp;C30</f>
        <v>doc_06-R4</v>
      </c>
      <c r="B30" s="10" t="s">
        <v>39</v>
      </c>
      <c r="C30" s="10" t="n">
        <v>4</v>
      </c>
      <c r="D30" s="9"/>
      <c r="E30" s="11"/>
      <c r="F30" s="11"/>
      <c r="G30" s="11"/>
      <c r="H30" s="11"/>
      <c r="I30" s="11"/>
      <c r="J30" s="9"/>
      <c r="K30" s="8" t="str">
        <f aca="false">IF(COUNT(E30:H30)=4,AVERAGE(E30:H30),"")</f>
        <v/>
      </c>
      <c r="L30" s="8" t="str">
        <f aca="false">IF(K30="","",IF(AND(K30&gt;=Summary!$B$3,I30&lt;=Summary!$B$4),"PASS","FAIL"))</f>
        <v/>
      </c>
    </row>
    <row r="31" customFormat="false" ht="31.5" hidden="false" customHeight="true" outlineLevel="0" collapsed="false">
      <c r="A31" s="8" t="str">
        <f aca="false">B31&amp;"-R"&amp;C31</f>
        <v>doc_06-R5</v>
      </c>
      <c r="B31" s="10" t="s">
        <v>39</v>
      </c>
      <c r="C31" s="10" t="n">
        <v>5</v>
      </c>
      <c r="D31" s="9"/>
      <c r="E31" s="11"/>
      <c r="F31" s="11"/>
      <c r="G31" s="11"/>
      <c r="H31" s="11"/>
      <c r="I31" s="11"/>
      <c r="J31" s="9"/>
      <c r="K31" s="8" t="str">
        <f aca="false">IF(COUNT(E31:H31)=4,AVERAGE(E31:H31),"")</f>
        <v/>
      </c>
      <c r="L31" s="8" t="str">
        <f aca="false">IF(K31="","",IF(AND(K31&gt;=Summary!$B$3,I31&lt;=Summary!$B$4),"PASS","FAIL"))</f>
        <v/>
      </c>
    </row>
    <row r="32" customFormat="false" ht="31.5" hidden="false" customHeight="true" outlineLevel="0" collapsed="false">
      <c r="A32" s="8" t="str">
        <f aca="false">B32&amp;"-R"&amp;C32</f>
        <v>doc_07-R1</v>
      </c>
      <c r="B32" s="10" t="s">
        <v>41</v>
      </c>
      <c r="C32" s="10" t="n">
        <v>1</v>
      </c>
      <c r="D32" s="9"/>
      <c r="E32" s="11"/>
      <c r="F32" s="11"/>
      <c r="G32" s="11"/>
      <c r="H32" s="11"/>
      <c r="I32" s="11"/>
      <c r="J32" s="9"/>
      <c r="K32" s="8" t="str">
        <f aca="false">IF(COUNT(E32:H32)=4,AVERAGE(E32:H32),"")</f>
        <v/>
      </c>
      <c r="L32" s="8" t="str">
        <f aca="false">IF(K32="","",IF(AND(K32&gt;=Summary!$B$3,I32&lt;=Summary!$B$4),"PASS","FAIL"))</f>
        <v/>
      </c>
    </row>
    <row r="33" customFormat="false" ht="31.5" hidden="false" customHeight="true" outlineLevel="0" collapsed="false">
      <c r="A33" s="8" t="str">
        <f aca="false">B33&amp;"-R"&amp;C33</f>
        <v>doc_07-R2</v>
      </c>
      <c r="B33" s="10" t="s">
        <v>41</v>
      </c>
      <c r="C33" s="10" t="n">
        <v>2</v>
      </c>
      <c r="D33" s="9"/>
      <c r="E33" s="11"/>
      <c r="F33" s="11"/>
      <c r="G33" s="11"/>
      <c r="H33" s="11"/>
      <c r="I33" s="11"/>
      <c r="J33" s="9"/>
      <c r="K33" s="8" t="str">
        <f aca="false">IF(COUNT(E33:H33)=4,AVERAGE(E33:H33),"")</f>
        <v/>
      </c>
      <c r="L33" s="8" t="str">
        <f aca="false">IF(K33="","",IF(AND(K33&gt;=Summary!$B$3,I33&lt;=Summary!$B$4),"PASS","FAIL"))</f>
        <v/>
      </c>
    </row>
    <row r="34" customFormat="false" ht="31.5" hidden="false" customHeight="true" outlineLevel="0" collapsed="false">
      <c r="A34" s="8" t="str">
        <f aca="false">B34&amp;"-R"&amp;C34</f>
        <v>doc_07-R3</v>
      </c>
      <c r="B34" s="10" t="s">
        <v>41</v>
      </c>
      <c r="C34" s="10" t="n">
        <v>3</v>
      </c>
      <c r="D34" s="9"/>
      <c r="E34" s="11"/>
      <c r="F34" s="11"/>
      <c r="G34" s="11"/>
      <c r="H34" s="11"/>
      <c r="I34" s="11"/>
      <c r="J34" s="9"/>
      <c r="K34" s="8" t="str">
        <f aca="false">IF(COUNT(E34:H34)=4,AVERAGE(E34:H34),"")</f>
        <v/>
      </c>
      <c r="L34" s="8" t="str">
        <f aca="false">IF(K34="","",IF(AND(K34&gt;=Summary!$B$3,I34&lt;=Summary!$B$4),"PASS","FAIL"))</f>
        <v/>
      </c>
    </row>
    <row r="35" customFormat="false" ht="31.5" hidden="false" customHeight="true" outlineLevel="0" collapsed="false">
      <c r="A35" s="8" t="str">
        <f aca="false">B35&amp;"-R"&amp;C35</f>
        <v>doc_07-R4</v>
      </c>
      <c r="B35" s="10" t="s">
        <v>41</v>
      </c>
      <c r="C35" s="10" t="n">
        <v>4</v>
      </c>
      <c r="D35" s="9"/>
      <c r="E35" s="11"/>
      <c r="F35" s="11"/>
      <c r="G35" s="11"/>
      <c r="H35" s="11"/>
      <c r="I35" s="11"/>
      <c r="J35" s="9"/>
      <c r="K35" s="8" t="str">
        <f aca="false">IF(COUNT(E35:H35)=4,AVERAGE(E35:H35),"")</f>
        <v/>
      </c>
      <c r="L35" s="8" t="str">
        <f aca="false">IF(K35="","",IF(AND(K35&gt;=Summary!$B$3,I35&lt;=Summary!$B$4),"PASS","FAIL"))</f>
        <v/>
      </c>
    </row>
    <row r="36" customFormat="false" ht="31.5" hidden="false" customHeight="true" outlineLevel="0" collapsed="false">
      <c r="A36" s="8" t="str">
        <f aca="false">B36&amp;"-R"&amp;C36</f>
        <v>doc_07-R5</v>
      </c>
      <c r="B36" s="10" t="s">
        <v>41</v>
      </c>
      <c r="C36" s="10" t="n">
        <v>5</v>
      </c>
      <c r="D36" s="9"/>
      <c r="E36" s="11"/>
      <c r="F36" s="11"/>
      <c r="G36" s="11"/>
      <c r="H36" s="11"/>
      <c r="I36" s="11"/>
      <c r="J36" s="9"/>
      <c r="K36" s="8" t="str">
        <f aca="false">IF(COUNT(E36:H36)=4,AVERAGE(E36:H36),"")</f>
        <v/>
      </c>
      <c r="L36" s="8" t="str">
        <f aca="false">IF(K36="","",IF(AND(K36&gt;=Summary!$B$3,I36&lt;=Summary!$B$4),"PASS","FAIL"))</f>
        <v/>
      </c>
    </row>
    <row r="37" customFormat="false" ht="31.5" hidden="false" customHeight="true" outlineLevel="0" collapsed="false">
      <c r="A37" s="8" t="str">
        <f aca="false">B37&amp;"-R"&amp;C37</f>
        <v>doc_08-R1</v>
      </c>
      <c r="B37" s="10" t="s">
        <v>43</v>
      </c>
      <c r="C37" s="10" t="n">
        <v>1</v>
      </c>
      <c r="D37" s="9"/>
      <c r="E37" s="11"/>
      <c r="F37" s="11"/>
      <c r="G37" s="11"/>
      <c r="H37" s="11"/>
      <c r="I37" s="11"/>
      <c r="J37" s="9"/>
      <c r="K37" s="8" t="str">
        <f aca="false">IF(COUNT(E37:H37)=4,AVERAGE(E37:H37),"")</f>
        <v/>
      </c>
      <c r="L37" s="8" t="str">
        <f aca="false">IF(K37="","",IF(AND(K37&gt;=Summary!$B$3,I37&lt;=Summary!$B$4),"PASS","FAIL"))</f>
        <v/>
      </c>
    </row>
    <row r="38" customFormat="false" ht="31.5" hidden="false" customHeight="true" outlineLevel="0" collapsed="false">
      <c r="A38" s="8" t="str">
        <f aca="false">B38&amp;"-R"&amp;C38</f>
        <v>doc_08-R2</v>
      </c>
      <c r="B38" s="10" t="s">
        <v>43</v>
      </c>
      <c r="C38" s="10" t="n">
        <v>2</v>
      </c>
      <c r="D38" s="9"/>
      <c r="E38" s="11"/>
      <c r="F38" s="11"/>
      <c r="G38" s="11"/>
      <c r="H38" s="11"/>
      <c r="I38" s="11"/>
      <c r="J38" s="9"/>
      <c r="K38" s="8" t="str">
        <f aca="false">IF(COUNT(E38:H38)=4,AVERAGE(E38:H38),"")</f>
        <v/>
      </c>
      <c r="L38" s="8" t="str">
        <f aca="false">IF(K38="","",IF(AND(K38&gt;=Summary!$B$3,I38&lt;=Summary!$B$4),"PASS","FAIL"))</f>
        <v/>
      </c>
    </row>
    <row r="39" customFormat="false" ht="31.5" hidden="false" customHeight="true" outlineLevel="0" collapsed="false">
      <c r="A39" s="8" t="str">
        <f aca="false">B39&amp;"-R"&amp;C39</f>
        <v>doc_08-R3</v>
      </c>
      <c r="B39" s="10" t="s">
        <v>43</v>
      </c>
      <c r="C39" s="10" t="n">
        <v>3</v>
      </c>
      <c r="D39" s="9"/>
      <c r="E39" s="11"/>
      <c r="F39" s="11"/>
      <c r="G39" s="11"/>
      <c r="H39" s="11"/>
      <c r="I39" s="11"/>
      <c r="J39" s="9"/>
      <c r="K39" s="8" t="str">
        <f aca="false">IF(COUNT(E39:H39)=4,AVERAGE(E39:H39),"")</f>
        <v/>
      </c>
      <c r="L39" s="8" t="str">
        <f aca="false">IF(K39="","",IF(AND(K39&gt;=Summary!$B$3,I39&lt;=Summary!$B$4),"PASS","FAIL"))</f>
        <v/>
      </c>
    </row>
    <row r="40" customFormat="false" ht="31.5" hidden="false" customHeight="true" outlineLevel="0" collapsed="false">
      <c r="A40" s="8" t="str">
        <f aca="false">B40&amp;"-R"&amp;C40</f>
        <v>doc_08-R4</v>
      </c>
      <c r="B40" s="10" t="s">
        <v>43</v>
      </c>
      <c r="C40" s="10" t="n">
        <v>4</v>
      </c>
      <c r="D40" s="9"/>
      <c r="E40" s="11"/>
      <c r="F40" s="11"/>
      <c r="G40" s="11"/>
      <c r="H40" s="11"/>
      <c r="I40" s="11"/>
      <c r="J40" s="9"/>
      <c r="K40" s="8" t="str">
        <f aca="false">IF(COUNT(E40:H40)=4,AVERAGE(E40:H40),"")</f>
        <v/>
      </c>
      <c r="L40" s="8" t="str">
        <f aca="false">IF(K40="","",IF(AND(K40&gt;=Summary!$B$3,I40&lt;=Summary!$B$4),"PASS","FAIL"))</f>
        <v/>
      </c>
    </row>
    <row r="41" customFormat="false" ht="31.5" hidden="false" customHeight="true" outlineLevel="0" collapsed="false">
      <c r="A41" s="8" t="str">
        <f aca="false">B41&amp;"-R"&amp;C41</f>
        <v>doc_08-R5</v>
      </c>
      <c r="B41" s="10" t="s">
        <v>43</v>
      </c>
      <c r="C41" s="10" t="n">
        <v>5</v>
      </c>
      <c r="D41" s="9"/>
      <c r="E41" s="11"/>
      <c r="F41" s="11"/>
      <c r="G41" s="11"/>
      <c r="H41" s="11"/>
      <c r="I41" s="11"/>
      <c r="J41" s="9"/>
      <c r="K41" s="8" t="str">
        <f aca="false">IF(COUNT(E41:H41)=4,AVERAGE(E41:H41),"")</f>
        <v/>
      </c>
      <c r="L41" s="8" t="str">
        <f aca="false">IF(K41="","",IF(AND(K41&gt;=Summary!$B$3,I41&lt;=Summary!$B$4),"PASS","FAIL"))</f>
        <v/>
      </c>
    </row>
    <row r="42" customFormat="false" ht="31.5" hidden="false" customHeight="true" outlineLevel="0" collapsed="false">
      <c r="A42" s="8" t="str">
        <f aca="false">B42&amp;"-R"&amp;C42</f>
        <v>doc_09-R1</v>
      </c>
      <c r="B42" s="10" t="s">
        <v>45</v>
      </c>
      <c r="C42" s="10" t="n">
        <v>1</v>
      </c>
      <c r="D42" s="9"/>
      <c r="E42" s="11"/>
      <c r="F42" s="11"/>
      <c r="G42" s="11"/>
      <c r="H42" s="11"/>
      <c r="I42" s="11"/>
      <c r="J42" s="9"/>
      <c r="K42" s="8" t="str">
        <f aca="false">IF(COUNT(E42:H42)=4,AVERAGE(E42:H42),"")</f>
        <v/>
      </c>
      <c r="L42" s="8" t="str">
        <f aca="false">IF(K42="","",IF(AND(K42&gt;=Summary!$B$3,I42&lt;=Summary!$B$4),"PASS","FAIL"))</f>
        <v/>
      </c>
    </row>
    <row r="43" customFormat="false" ht="31.5" hidden="false" customHeight="true" outlineLevel="0" collapsed="false">
      <c r="A43" s="8" t="str">
        <f aca="false">B43&amp;"-R"&amp;C43</f>
        <v>doc_09-R2</v>
      </c>
      <c r="B43" s="10" t="s">
        <v>45</v>
      </c>
      <c r="C43" s="10" t="n">
        <v>2</v>
      </c>
      <c r="D43" s="9"/>
      <c r="E43" s="11"/>
      <c r="F43" s="11"/>
      <c r="G43" s="11"/>
      <c r="H43" s="11"/>
      <c r="I43" s="11"/>
      <c r="J43" s="9"/>
      <c r="K43" s="8" t="str">
        <f aca="false">IF(COUNT(E43:H43)=4,AVERAGE(E43:H43),"")</f>
        <v/>
      </c>
      <c r="L43" s="8" t="str">
        <f aca="false">IF(K43="","",IF(AND(K43&gt;=Summary!$B$3,I43&lt;=Summary!$B$4),"PASS","FAIL"))</f>
        <v/>
      </c>
    </row>
    <row r="44" customFormat="false" ht="31.5" hidden="false" customHeight="true" outlineLevel="0" collapsed="false">
      <c r="A44" s="8" t="str">
        <f aca="false">B44&amp;"-R"&amp;C44</f>
        <v>doc_09-R3</v>
      </c>
      <c r="B44" s="10" t="s">
        <v>45</v>
      </c>
      <c r="C44" s="10" t="n">
        <v>3</v>
      </c>
      <c r="D44" s="9"/>
      <c r="E44" s="11"/>
      <c r="F44" s="11"/>
      <c r="G44" s="11"/>
      <c r="H44" s="11"/>
      <c r="I44" s="11"/>
      <c r="J44" s="9"/>
      <c r="K44" s="8" t="str">
        <f aca="false">IF(COUNT(E44:H44)=4,AVERAGE(E44:H44),"")</f>
        <v/>
      </c>
      <c r="L44" s="8" t="str">
        <f aca="false">IF(K44="","",IF(AND(K44&gt;=Summary!$B$3,I44&lt;=Summary!$B$4),"PASS","FAIL"))</f>
        <v/>
      </c>
    </row>
    <row r="45" customFormat="false" ht="31.5" hidden="false" customHeight="true" outlineLevel="0" collapsed="false">
      <c r="A45" s="8" t="str">
        <f aca="false">B45&amp;"-R"&amp;C45</f>
        <v>doc_09-R4</v>
      </c>
      <c r="B45" s="10" t="s">
        <v>45</v>
      </c>
      <c r="C45" s="10" t="n">
        <v>4</v>
      </c>
      <c r="D45" s="9"/>
      <c r="E45" s="11"/>
      <c r="F45" s="11"/>
      <c r="G45" s="11"/>
      <c r="H45" s="11"/>
      <c r="I45" s="11"/>
      <c r="J45" s="9"/>
      <c r="K45" s="8" t="str">
        <f aca="false">IF(COUNT(E45:H45)=4,AVERAGE(E45:H45),"")</f>
        <v/>
      </c>
      <c r="L45" s="8" t="str">
        <f aca="false">IF(K45="","",IF(AND(K45&gt;=Summary!$B$3,I45&lt;=Summary!$B$4),"PASS","FAIL"))</f>
        <v/>
      </c>
    </row>
    <row r="46" customFormat="false" ht="31.5" hidden="false" customHeight="true" outlineLevel="0" collapsed="false">
      <c r="A46" s="8" t="str">
        <f aca="false">B46&amp;"-R"&amp;C46</f>
        <v>doc_09-R5</v>
      </c>
      <c r="B46" s="10" t="s">
        <v>45</v>
      </c>
      <c r="C46" s="10" t="n">
        <v>5</v>
      </c>
      <c r="D46" s="9"/>
      <c r="E46" s="11"/>
      <c r="F46" s="11"/>
      <c r="G46" s="11"/>
      <c r="H46" s="11"/>
      <c r="I46" s="11"/>
      <c r="J46" s="9"/>
      <c r="K46" s="8" t="str">
        <f aca="false">IF(COUNT(E46:H46)=4,AVERAGE(E46:H46),"")</f>
        <v/>
      </c>
      <c r="L46" s="8" t="str">
        <f aca="false">IF(K46="","",IF(AND(K46&gt;=Summary!$B$3,I46&lt;=Summary!$B$4),"PASS","FAIL"))</f>
        <v/>
      </c>
    </row>
    <row r="47" customFormat="false" ht="31.5" hidden="false" customHeight="true" outlineLevel="0" collapsed="false">
      <c r="A47" s="8" t="str">
        <f aca="false">B47&amp;"-R"&amp;C47</f>
        <v>doc_10-R1</v>
      </c>
      <c r="B47" s="10" t="s">
        <v>47</v>
      </c>
      <c r="C47" s="10" t="n">
        <v>1</v>
      </c>
      <c r="D47" s="9"/>
      <c r="E47" s="11"/>
      <c r="F47" s="11"/>
      <c r="G47" s="11"/>
      <c r="H47" s="11"/>
      <c r="I47" s="11"/>
      <c r="J47" s="9"/>
      <c r="K47" s="8" t="str">
        <f aca="false">IF(COUNT(E47:H47)=4,AVERAGE(E47:H47),"")</f>
        <v/>
      </c>
      <c r="L47" s="8" t="str">
        <f aca="false">IF(K47="","",IF(AND(K47&gt;=Summary!$B$3,I47&lt;=Summary!$B$4),"PASS","FAIL"))</f>
        <v/>
      </c>
    </row>
    <row r="48" customFormat="false" ht="31.5" hidden="false" customHeight="true" outlineLevel="0" collapsed="false">
      <c r="A48" s="8" t="str">
        <f aca="false">B48&amp;"-R"&amp;C48</f>
        <v>doc_10-R2</v>
      </c>
      <c r="B48" s="10" t="s">
        <v>47</v>
      </c>
      <c r="C48" s="10" t="n">
        <v>2</v>
      </c>
      <c r="D48" s="9"/>
      <c r="E48" s="11"/>
      <c r="F48" s="11"/>
      <c r="G48" s="11"/>
      <c r="H48" s="11"/>
      <c r="I48" s="11"/>
      <c r="J48" s="9"/>
      <c r="K48" s="8" t="str">
        <f aca="false">IF(COUNT(E48:H48)=4,AVERAGE(E48:H48),"")</f>
        <v/>
      </c>
      <c r="L48" s="8" t="str">
        <f aca="false">IF(K48="","",IF(AND(K48&gt;=Summary!$B$3,I48&lt;=Summary!$B$4),"PASS","FAIL"))</f>
        <v/>
      </c>
    </row>
    <row r="49" customFormat="false" ht="31.5" hidden="false" customHeight="true" outlineLevel="0" collapsed="false">
      <c r="A49" s="8" t="str">
        <f aca="false">B49&amp;"-R"&amp;C49</f>
        <v>doc_10-R3</v>
      </c>
      <c r="B49" s="10" t="s">
        <v>47</v>
      </c>
      <c r="C49" s="10" t="n">
        <v>3</v>
      </c>
      <c r="D49" s="9"/>
      <c r="E49" s="11"/>
      <c r="F49" s="11"/>
      <c r="G49" s="11"/>
      <c r="H49" s="11"/>
      <c r="I49" s="11"/>
      <c r="J49" s="9"/>
      <c r="K49" s="8" t="str">
        <f aca="false">IF(COUNT(E49:H49)=4,AVERAGE(E49:H49),"")</f>
        <v/>
      </c>
      <c r="L49" s="8" t="str">
        <f aca="false">IF(K49="","",IF(AND(K49&gt;=Summary!$B$3,I49&lt;=Summary!$B$4),"PASS","FAIL"))</f>
        <v/>
      </c>
    </row>
    <row r="50" customFormat="false" ht="31.5" hidden="false" customHeight="true" outlineLevel="0" collapsed="false">
      <c r="A50" s="8" t="str">
        <f aca="false">B50&amp;"-R"&amp;C50</f>
        <v>doc_10-R4</v>
      </c>
      <c r="B50" s="10" t="s">
        <v>47</v>
      </c>
      <c r="C50" s="10" t="n">
        <v>4</v>
      </c>
      <c r="D50" s="9"/>
      <c r="E50" s="11"/>
      <c r="F50" s="11"/>
      <c r="G50" s="11"/>
      <c r="H50" s="11"/>
      <c r="I50" s="11"/>
      <c r="J50" s="9"/>
      <c r="K50" s="8" t="str">
        <f aca="false">IF(COUNT(E50:H50)=4,AVERAGE(E50:H50),"")</f>
        <v/>
      </c>
      <c r="L50" s="8" t="str">
        <f aca="false">IF(K50="","",IF(AND(K50&gt;=Summary!$B$3,I50&lt;=Summary!$B$4),"PASS","FAIL"))</f>
        <v/>
      </c>
    </row>
    <row r="51" customFormat="false" ht="31.5" hidden="false" customHeight="true" outlineLevel="0" collapsed="false">
      <c r="A51" s="8" t="str">
        <f aca="false">B51&amp;"-R"&amp;C51</f>
        <v>doc_10-R5</v>
      </c>
      <c r="B51" s="10" t="s">
        <v>47</v>
      </c>
      <c r="C51" s="10" t="n">
        <v>5</v>
      </c>
      <c r="D51" s="9"/>
      <c r="E51" s="11"/>
      <c r="F51" s="11"/>
      <c r="G51" s="11"/>
      <c r="H51" s="11"/>
      <c r="I51" s="11"/>
      <c r="J51" s="9"/>
      <c r="K51" s="8" t="str">
        <f aca="false">IF(COUNT(E51:H51)=4,AVERAGE(E51:H51),"")</f>
        <v/>
      </c>
      <c r="L51" s="8" t="str">
        <f aca="false">IF(K51="","",IF(AND(K51&gt;=Summary!$B$3,I51&lt;=Summary!$B$4),"PASS","FAIL"))</f>
        <v/>
      </c>
    </row>
    <row r="52" customFormat="false" ht="31.5" hidden="false" customHeight="true" outlineLevel="0" collapsed="false">
      <c r="A52" s="8" t="str">
        <f aca="false">B52&amp;"-R"&amp;C52</f>
        <v>doc_11-R1</v>
      </c>
      <c r="B52" s="10" t="s">
        <v>49</v>
      </c>
      <c r="C52" s="10" t="n">
        <v>1</v>
      </c>
      <c r="D52" s="9"/>
      <c r="E52" s="11"/>
      <c r="F52" s="11"/>
      <c r="G52" s="11"/>
      <c r="H52" s="11"/>
      <c r="I52" s="11"/>
      <c r="J52" s="9"/>
      <c r="K52" s="8" t="str">
        <f aca="false">IF(COUNT(E52:H52)=4,AVERAGE(E52:H52),"")</f>
        <v/>
      </c>
      <c r="L52" s="8" t="str">
        <f aca="false">IF(K52="","",IF(AND(K52&gt;=Summary!$B$3,I52&lt;=Summary!$B$4),"PASS","FAIL"))</f>
        <v/>
      </c>
    </row>
    <row r="53" customFormat="false" ht="31.5" hidden="false" customHeight="true" outlineLevel="0" collapsed="false">
      <c r="A53" s="8" t="str">
        <f aca="false">B53&amp;"-R"&amp;C53</f>
        <v>doc_11-R2</v>
      </c>
      <c r="B53" s="10" t="s">
        <v>49</v>
      </c>
      <c r="C53" s="10" t="n">
        <v>2</v>
      </c>
      <c r="D53" s="9"/>
      <c r="E53" s="11"/>
      <c r="F53" s="11"/>
      <c r="G53" s="11"/>
      <c r="H53" s="11"/>
      <c r="I53" s="11"/>
      <c r="J53" s="9"/>
      <c r="K53" s="8" t="str">
        <f aca="false">IF(COUNT(E53:H53)=4,AVERAGE(E53:H53),"")</f>
        <v/>
      </c>
      <c r="L53" s="8" t="str">
        <f aca="false">IF(K53="","",IF(AND(K53&gt;=Summary!$B$3,I53&lt;=Summary!$B$4),"PASS","FAIL"))</f>
        <v/>
      </c>
    </row>
    <row r="54" customFormat="false" ht="31.5" hidden="false" customHeight="true" outlineLevel="0" collapsed="false">
      <c r="A54" s="8" t="str">
        <f aca="false">B54&amp;"-R"&amp;C54</f>
        <v>doc_11-R3</v>
      </c>
      <c r="B54" s="10" t="s">
        <v>49</v>
      </c>
      <c r="C54" s="10" t="n">
        <v>3</v>
      </c>
      <c r="D54" s="9"/>
      <c r="E54" s="11"/>
      <c r="F54" s="11"/>
      <c r="G54" s="11"/>
      <c r="H54" s="11"/>
      <c r="I54" s="11"/>
      <c r="J54" s="9"/>
      <c r="K54" s="8" t="str">
        <f aca="false">IF(COUNT(E54:H54)=4,AVERAGE(E54:H54),"")</f>
        <v/>
      </c>
      <c r="L54" s="8" t="str">
        <f aca="false">IF(K54="","",IF(AND(K54&gt;=Summary!$B$3,I54&lt;=Summary!$B$4),"PASS","FAIL"))</f>
        <v/>
      </c>
    </row>
    <row r="55" customFormat="false" ht="31.5" hidden="false" customHeight="true" outlineLevel="0" collapsed="false">
      <c r="A55" s="8" t="str">
        <f aca="false">B55&amp;"-R"&amp;C55</f>
        <v>doc_11-R4</v>
      </c>
      <c r="B55" s="10" t="s">
        <v>49</v>
      </c>
      <c r="C55" s="10" t="n">
        <v>4</v>
      </c>
      <c r="D55" s="9"/>
      <c r="E55" s="11"/>
      <c r="F55" s="11"/>
      <c r="G55" s="11"/>
      <c r="H55" s="11"/>
      <c r="I55" s="11"/>
      <c r="J55" s="9"/>
      <c r="K55" s="8" t="str">
        <f aca="false">IF(COUNT(E55:H55)=4,AVERAGE(E55:H55),"")</f>
        <v/>
      </c>
      <c r="L55" s="8" t="str">
        <f aca="false">IF(K55="","",IF(AND(K55&gt;=Summary!$B$3,I55&lt;=Summary!$B$4),"PASS","FAIL"))</f>
        <v/>
      </c>
    </row>
    <row r="56" customFormat="false" ht="31.5" hidden="false" customHeight="true" outlineLevel="0" collapsed="false">
      <c r="A56" s="8" t="str">
        <f aca="false">B56&amp;"-R"&amp;C56</f>
        <v>doc_11-R5</v>
      </c>
      <c r="B56" s="10" t="s">
        <v>49</v>
      </c>
      <c r="C56" s="10" t="n">
        <v>5</v>
      </c>
      <c r="D56" s="9"/>
      <c r="E56" s="11"/>
      <c r="F56" s="11"/>
      <c r="G56" s="11"/>
      <c r="H56" s="11"/>
      <c r="I56" s="11"/>
      <c r="J56" s="9"/>
      <c r="K56" s="8" t="str">
        <f aca="false">IF(COUNT(E56:H56)=4,AVERAGE(E56:H56),"")</f>
        <v/>
      </c>
      <c r="L56" s="8" t="str">
        <f aca="false">IF(K56="","",IF(AND(K56&gt;=Summary!$B$3,I56&lt;=Summary!$B$4),"PASS","FAIL"))</f>
        <v/>
      </c>
    </row>
    <row r="57" customFormat="false" ht="31.5" hidden="false" customHeight="true" outlineLevel="0" collapsed="false">
      <c r="A57" s="8" t="str">
        <f aca="false">B57&amp;"-R"&amp;C57</f>
        <v>doc_12-R1</v>
      </c>
      <c r="B57" s="10" t="s">
        <v>51</v>
      </c>
      <c r="C57" s="10" t="n">
        <v>1</v>
      </c>
      <c r="D57" s="9"/>
      <c r="E57" s="11"/>
      <c r="F57" s="11"/>
      <c r="G57" s="11"/>
      <c r="H57" s="11"/>
      <c r="I57" s="11"/>
      <c r="J57" s="9"/>
      <c r="K57" s="8" t="str">
        <f aca="false">IF(COUNT(E57:H57)=4,AVERAGE(E57:H57),"")</f>
        <v/>
      </c>
      <c r="L57" s="8" t="str">
        <f aca="false">IF(K57="","",IF(AND(K57&gt;=Summary!$B$3,I57&lt;=Summary!$B$4),"PASS","FAIL"))</f>
        <v/>
      </c>
    </row>
    <row r="58" customFormat="false" ht="31.5" hidden="false" customHeight="true" outlineLevel="0" collapsed="false">
      <c r="A58" s="8" t="str">
        <f aca="false">B58&amp;"-R"&amp;C58</f>
        <v>doc_12-R2</v>
      </c>
      <c r="B58" s="10" t="s">
        <v>51</v>
      </c>
      <c r="C58" s="10" t="n">
        <v>2</v>
      </c>
      <c r="D58" s="9"/>
      <c r="E58" s="11"/>
      <c r="F58" s="11"/>
      <c r="G58" s="11"/>
      <c r="H58" s="11"/>
      <c r="I58" s="11"/>
      <c r="J58" s="9"/>
      <c r="K58" s="8" t="str">
        <f aca="false">IF(COUNT(E58:H58)=4,AVERAGE(E58:H58),"")</f>
        <v/>
      </c>
      <c r="L58" s="8" t="str">
        <f aca="false">IF(K58="","",IF(AND(K58&gt;=Summary!$B$3,I58&lt;=Summary!$B$4),"PASS","FAIL"))</f>
        <v/>
      </c>
    </row>
    <row r="59" customFormat="false" ht="31.5" hidden="false" customHeight="true" outlineLevel="0" collapsed="false">
      <c r="A59" s="8" t="str">
        <f aca="false">B59&amp;"-R"&amp;C59</f>
        <v>doc_12-R3</v>
      </c>
      <c r="B59" s="10" t="s">
        <v>51</v>
      </c>
      <c r="C59" s="10" t="n">
        <v>3</v>
      </c>
      <c r="D59" s="9"/>
      <c r="E59" s="11"/>
      <c r="F59" s="11"/>
      <c r="G59" s="11"/>
      <c r="H59" s="11"/>
      <c r="I59" s="11"/>
      <c r="J59" s="9"/>
      <c r="K59" s="8" t="str">
        <f aca="false">IF(COUNT(E59:H59)=4,AVERAGE(E59:H59),"")</f>
        <v/>
      </c>
      <c r="L59" s="8" t="str">
        <f aca="false">IF(K59="","",IF(AND(K59&gt;=Summary!$B$3,I59&lt;=Summary!$B$4),"PASS","FAIL"))</f>
        <v/>
      </c>
    </row>
    <row r="60" customFormat="false" ht="31.5" hidden="false" customHeight="true" outlineLevel="0" collapsed="false">
      <c r="A60" s="8" t="str">
        <f aca="false">B60&amp;"-R"&amp;C60</f>
        <v>doc_12-R4</v>
      </c>
      <c r="B60" s="10" t="s">
        <v>51</v>
      </c>
      <c r="C60" s="10" t="n">
        <v>4</v>
      </c>
      <c r="D60" s="9"/>
      <c r="E60" s="11"/>
      <c r="F60" s="11"/>
      <c r="G60" s="11"/>
      <c r="H60" s="11"/>
      <c r="I60" s="11"/>
      <c r="J60" s="9"/>
      <c r="K60" s="8" t="str">
        <f aca="false">IF(COUNT(E60:H60)=4,AVERAGE(E60:H60),"")</f>
        <v/>
      </c>
      <c r="L60" s="8" t="str">
        <f aca="false">IF(K60="","",IF(AND(K60&gt;=Summary!$B$3,I60&lt;=Summary!$B$4),"PASS","FAIL"))</f>
        <v/>
      </c>
    </row>
    <row r="61" customFormat="false" ht="31.5" hidden="false" customHeight="true" outlineLevel="0" collapsed="false">
      <c r="A61" s="8" t="str">
        <f aca="false">B61&amp;"-R"&amp;C61</f>
        <v>doc_12-R5</v>
      </c>
      <c r="B61" s="10" t="s">
        <v>51</v>
      </c>
      <c r="C61" s="10" t="n">
        <v>5</v>
      </c>
      <c r="D61" s="9"/>
      <c r="E61" s="11"/>
      <c r="F61" s="11"/>
      <c r="G61" s="11"/>
      <c r="H61" s="11"/>
      <c r="I61" s="11"/>
      <c r="J61" s="9"/>
      <c r="K61" s="8" t="str">
        <f aca="false">IF(COUNT(E61:H61)=4,AVERAGE(E61:H61),"")</f>
        <v/>
      </c>
      <c r="L61" s="8" t="str">
        <f aca="false">IF(K61="","",IF(AND(K61&gt;=Summary!$B$3,I61&lt;=Summary!$B$4),"PASS","FAIL"))</f>
        <v/>
      </c>
    </row>
    <row r="62" customFormat="false" ht="31.5" hidden="false" customHeight="true" outlineLevel="0" collapsed="false">
      <c r="A62" s="8" t="str">
        <f aca="false">B62&amp;"-R"&amp;C62</f>
        <v>doc_13-R1</v>
      </c>
      <c r="B62" s="10" t="s">
        <v>53</v>
      </c>
      <c r="C62" s="10" t="n">
        <v>1</v>
      </c>
      <c r="D62" s="9"/>
      <c r="E62" s="11"/>
      <c r="F62" s="11"/>
      <c r="G62" s="11"/>
      <c r="H62" s="11"/>
      <c r="I62" s="11"/>
      <c r="J62" s="9"/>
      <c r="K62" s="8" t="str">
        <f aca="false">IF(COUNT(E62:H62)=4,AVERAGE(E62:H62),"")</f>
        <v/>
      </c>
      <c r="L62" s="8" t="str">
        <f aca="false">IF(K62="","",IF(AND(K62&gt;=Summary!$B$3,I62&lt;=Summary!$B$4),"PASS","FAIL"))</f>
        <v/>
      </c>
    </row>
    <row r="63" customFormat="false" ht="31.5" hidden="false" customHeight="true" outlineLevel="0" collapsed="false">
      <c r="A63" s="8" t="str">
        <f aca="false">B63&amp;"-R"&amp;C63</f>
        <v>doc_13-R2</v>
      </c>
      <c r="B63" s="10" t="s">
        <v>53</v>
      </c>
      <c r="C63" s="10" t="n">
        <v>2</v>
      </c>
      <c r="D63" s="9"/>
      <c r="E63" s="11"/>
      <c r="F63" s="11"/>
      <c r="G63" s="11"/>
      <c r="H63" s="11"/>
      <c r="I63" s="11"/>
      <c r="J63" s="9"/>
      <c r="K63" s="8" t="str">
        <f aca="false">IF(COUNT(E63:H63)=4,AVERAGE(E63:H63),"")</f>
        <v/>
      </c>
      <c r="L63" s="8" t="str">
        <f aca="false">IF(K63="","",IF(AND(K63&gt;=Summary!$B$3,I63&lt;=Summary!$B$4),"PASS","FAIL"))</f>
        <v/>
      </c>
    </row>
    <row r="64" customFormat="false" ht="31.5" hidden="false" customHeight="true" outlineLevel="0" collapsed="false">
      <c r="A64" s="8" t="str">
        <f aca="false">B64&amp;"-R"&amp;C64</f>
        <v>doc_13-R3</v>
      </c>
      <c r="B64" s="10" t="s">
        <v>53</v>
      </c>
      <c r="C64" s="10" t="n">
        <v>3</v>
      </c>
      <c r="D64" s="9"/>
      <c r="E64" s="11"/>
      <c r="F64" s="11"/>
      <c r="G64" s="11"/>
      <c r="H64" s="11"/>
      <c r="I64" s="11"/>
      <c r="J64" s="9"/>
      <c r="K64" s="8" t="str">
        <f aca="false">IF(COUNT(E64:H64)=4,AVERAGE(E64:H64),"")</f>
        <v/>
      </c>
      <c r="L64" s="8" t="str">
        <f aca="false">IF(K64="","",IF(AND(K64&gt;=Summary!$B$3,I64&lt;=Summary!$B$4),"PASS","FAIL"))</f>
        <v/>
      </c>
    </row>
    <row r="65" customFormat="false" ht="31.5" hidden="false" customHeight="true" outlineLevel="0" collapsed="false">
      <c r="A65" s="8" t="str">
        <f aca="false">B65&amp;"-R"&amp;C65</f>
        <v>doc_13-R4</v>
      </c>
      <c r="B65" s="10" t="s">
        <v>53</v>
      </c>
      <c r="C65" s="10" t="n">
        <v>4</v>
      </c>
      <c r="D65" s="9"/>
      <c r="E65" s="11"/>
      <c r="F65" s="11"/>
      <c r="G65" s="11"/>
      <c r="H65" s="11"/>
      <c r="I65" s="11"/>
      <c r="J65" s="9"/>
      <c r="K65" s="8" t="str">
        <f aca="false">IF(COUNT(E65:H65)=4,AVERAGE(E65:H65),"")</f>
        <v/>
      </c>
      <c r="L65" s="8" t="str">
        <f aca="false">IF(K65="","",IF(AND(K65&gt;=Summary!$B$3,I65&lt;=Summary!$B$4),"PASS","FAIL"))</f>
        <v/>
      </c>
    </row>
    <row r="66" customFormat="false" ht="31.5" hidden="false" customHeight="true" outlineLevel="0" collapsed="false">
      <c r="A66" s="8" t="str">
        <f aca="false">B66&amp;"-R"&amp;C66</f>
        <v>doc_13-R5</v>
      </c>
      <c r="B66" s="10" t="s">
        <v>53</v>
      </c>
      <c r="C66" s="10" t="n">
        <v>5</v>
      </c>
      <c r="D66" s="9"/>
      <c r="E66" s="11"/>
      <c r="F66" s="11"/>
      <c r="G66" s="11"/>
      <c r="H66" s="11"/>
      <c r="I66" s="11"/>
      <c r="J66" s="9"/>
      <c r="K66" s="8" t="str">
        <f aca="false">IF(COUNT(E66:H66)=4,AVERAGE(E66:H66),"")</f>
        <v/>
      </c>
      <c r="L66" s="8" t="str">
        <f aca="false">IF(K66="","",IF(AND(K66&gt;=Summary!$B$3,I66&lt;=Summary!$B$4),"PASS","FAIL"))</f>
        <v/>
      </c>
    </row>
    <row r="67" customFormat="false" ht="31.5" hidden="false" customHeight="true" outlineLevel="0" collapsed="false">
      <c r="A67" s="8" t="str">
        <f aca="false">B67&amp;"-R"&amp;C67</f>
        <v>doc_14-R1</v>
      </c>
      <c r="B67" s="10" t="s">
        <v>55</v>
      </c>
      <c r="C67" s="10" t="n">
        <v>1</v>
      </c>
      <c r="D67" s="9"/>
      <c r="E67" s="11"/>
      <c r="F67" s="11"/>
      <c r="G67" s="11"/>
      <c r="H67" s="11"/>
      <c r="I67" s="11"/>
      <c r="J67" s="9"/>
      <c r="K67" s="8" t="str">
        <f aca="false">IF(COUNT(E67:H67)=4,AVERAGE(E67:H67),"")</f>
        <v/>
      </c>
      <c r="L67" s="8" t="str">
        <f aca="false">IF(K67="","",IF(AND(K67&gt;=Summary!$B$3,I67&lt;=Summary!$B$4),"PASS","FAIL"))</f>
        <v/>
      </c>
    </row>
    <row r="68" customFormat="false" ht="31.5" hidden="false" customHeight="true" outlineLevel="0" collapsed="false">
      <c r="A68" s="8" t="str">
        <f aca="false">B68&amp;"-R"&amp;C68</f>
        <v>doc_14-R2</v>
      </c>
      <c r="B68" s="10" t="s">
        <v>55</v>
      </c>
      <c r="C68" s="10" t="n">
        <v>2</v>
      </c>
      <c r="D68" s="9"/>
      <c r="E68" s="11"/>
      <c r="F68" s="11"/>
      <c r="G68" s="11"/>
      <c r="H68" s="11"/>
      <c r="I68" s="11"/>
      <c r="J68" s="9"/>
      <c r="K68" s="8" t="str">
        <f aca="false">IF(COUNT(E68:H68)=4,AVERAGE(E68:H68),"")</f>
        <v/>
      </c>
      <c r="L68" s="8" t="str">
        <f aca="false">IF(K68="","",IF(AND(K68&gt;=Summary!$B$3,I68&lt;=Summary!$B$4),"PASS","FAIL"))</f>
        <v/>
      </c>
    </row>
    <row r="69" customFormat="false" ht="31.5" hidden="false" customHeight="true" outlineLevel="0" collapsed="false">
      <c r="A69" s="8" t="str">
        <f aca="false">B69&amp;"-R"&amp;C69</f>
        <v>doc_14-R3</v>
      </c>
      <c r="B69" s="10" t="s">
        <v>55</v>
      </c>
      <c r="C69" s="10" t="n">
        <v>3</v>
      </c>
      <c r="D69" s="9"/>
      <c r="E69" s="11"/>
      <c r="F69" s="11"/>
      <c r="G69" s="11"/>
      <c r="H69" s="11"/>
      <c r="I69" s="11"/>
      <c r="J69" s="9"/>
      <c r="K69" s="8" t="str">
        <f aca="false">IF(COUNT(E69:H69)=4,AVERAGE(E69:H69),"")</f>
        <v/>
      </c>
      <c r="L69" s="8" t="str">
        <f aca="false">IF(K69="","",IF(AND(K69&gt;=Summary!$B$3,I69&lt;=Summary!$B$4),"PASS","FAIL"))</f>
        <v/>
      </c>
    </row>
    <row r="70" customFormat="false" ht="31.5" hidden="false" customHeight="true" outlineLevel="0" collapsed="false">
      <c r="A70" s="8" t="str">
        <f aca="false">B70&amp;"-R"&amp;C70</f>
        <v>doc_14-R4</v>
      </c>
      <c r="B70" s="10" t="s">
        <v>55</v>
      </c>
      <c r="C70" s="10" t="n">
        <v>4</v>
      </c>
      <c r="D70" s="9"/>
      <c r="E70" s="11"/>
      <c r="F70" s="11"/>
      <c r="G70" s="11"/>
      <c r="H70" s="11"/>
      <c r="I70" s="11"/>
      <c r="J70" s="9"/>
      <c r="K70" s="8" t="str">
        <f aca="false">IF(COUNT(E70:H70)=4,AVERAGE(E70:H70),"")</f>
        <v/>
      </c>
      <c r="L70" s="8" t="str">
        <f aca="false">IF(K70="","",IF(AND(K70&gt;=Summary!$B$3,I70&lt;=Summary!$B$4),"PASS","FAIL"))</f>
        <v/>
      </c>
    </row>
    <row r="71" customFormat="false" ht="31.5" hidden="false" customHeight="true" outlineLevel="0" collapsed="false">
      <c r="A71" s="8" t="str">
        <f aca="false">B71&amp;"-R"&amp;C71</f>
        <v>doc_14-R5</v>
      </c>
      <c r="B71" s="10" t="s">
        <v>55</v>
      </c>
      <c r="C71" s="10" t="n">
        <v>5</v>
      </c>
      <c r="D71" s="9"/>
      <c r="E71" s="11"/>
      <c r="F71" s="11"/>
      <c r="G71" s="11"/>
      <c r="H71" s="11"/>
      <c r="I71" s="11"/>
      <c r="J71" s="9"/>
      <c r="K71" s="8" t="str">
        <f aca="false">IF(COUNT(E71:H71)=4,AVERAGE(E71:H71),"")</f>
        <v/>
      </c>
      <c r="L71" s="8" t="str">
        <f aca="false">IF(K71="","",IF(AND(K71&gt;=Summary!$B$3,I71&lt;=Summary!$B$4),"PASS","FAIL"))</f>
        <v/>
      </c>
    </row>
    <row r="72" customFormat="false" ht="31.5" hidden="false" customHeight="true" outlineLevel="0" collapsed="false">
      <c r="A72" s="8" t="str">
        <f aca="false">B72&amp;"-R"&amp;C72</f>
        <v>doc_15-R1</v>
      </c>
      <c r="B72" s="10" t="s">
        <v>57</v>
      </c>
      <c r="C72" s="10" t="n">
        <v>1</v>
      </c>
      <c r="D72" s="9"/>
      <c r="E72" s="11"/>
      <c r="F72" s="11"/>
      <c r="G72" s="11"/>
      <c r="H72" s="11"/>
      <c r="I72" s="11"/>
      <c r="J72" s="9"/>
      <c r="K72" s="8" t="str">
        <f aca="false">IF(COUNT(E72:H72)=4,AVERAGE(E72:H72),"")</f>
        <v/>
      </c>
      <c r="L72" s="8" t="str">
        <f aca="false">IF(K72="","",IF(AND(K72&gt;=Summary!$B$3,I72&lt;=Summary!$B$4),"PASS","FAIL"))</f>
        <v/>
      </c>
    </row>
    <row r="73" customFormat="false" ht="31.5" hidden="false" customHeight="true" outlineLevel="0" collapsed="false">
      <c r="A73" s="8" t="str">
        <f aca="false">B73&amp;"-R"&amp;C73</f>
        <v>doc_15-R2</v>
      </c>
      <c r="B73" s="10" t="s">
        <v>57</v>
      </c>
      <c r="C73" s="10" t="n">
        <v>2</v>
      </c>
      <c r="D73" s="9"/>
      <c r="E73" s="11"/>
      <c r="F73" s="11"/>
      <c r="G73" s="11"/>
      <c r="H73" s="11"/>
      <c r="I73" s="11"/>
      <c r="J73" s="9"/>
      <c r="K73" s="8" t="str">
        <f aca="false">IF(COUNT(E73:H73)=4,AVERAGE(E73:H73),"")</f>
        <v/>
      </c>
      <c r="L73" s="8" t="str">
        <f aca="false">IF(K73="","",IF(AND(K73&gt;=Summary!$B$3,I73&lt;=Summary!$B$4),"PASS","FAIL"))</f>
        <v/>
      </c>
    </row>
    <row r="74" customFormat="false" ht="31.5" hidden="false" customHeight="true" outlineLevel="0" collapsed="false">
      <c r="A74" s="8" t="str">
        <f aca="false">B74&amp;"-R"&amp;C74</f>
        <v>doc_15-R3</v>
      </c>
      <c r="B74" s="10" t="s">
        <v>57</v>
      </c>
      <c r="C74" s="10" t="n">
        <v>3</v>
      </c>
      <c r="D74" s="9"/>
      <c r="E74" s="11"/>
      <c r="F74" s="11"/>
      <c r="G74" s="11"/>
      <c r="H74" s="11"/>
      <c r="I74" s="11"/>
      <c r="J74" s="9"/>
      <c r="K74" s="8" t="str">
        <f aca="false">IF(COUNT(E74:H74)=4,AVERAGE(E74:H74),"")</f>
        <v/>
      </c>
      <c r="L74" s="8" t="str">
        <f aca="false">IF(K74="","",IF(AND(K74&gt;=Summary!$B$3,I74&lt;=Summary!$B$4),"PASS","FAIL"))</f>
        <v/>
      </c>
    </row>
    <row r="75" customFormat="false" ht="31.5" hidden="false" customHeight="true" outlineLevel="0" collapsed="false">
      <c r="A75" s="8" t="str">
        <f aca="false">B75&amp;"-R"&amp;C75</f>
        <v>doc_15-R4</v>
      </c>
      <c r="B75" s="10" t="s">
        <v>57</v>
      </c>
      <c r="C75" s="10" t="n">
        <v>4</v>
      </c>
      <c r="D75" s="9"/>
      <c r="E75" s="11"/>
      <c r="F75" s="11"/>
      <c r="G75" s="11"/>
      <c r="H75" s="11"/>
      <c r="I75" s="11"/>
      <c r="J75" s="9"/>
      <c r="K75" s="8" t="str">
        <f aca="false">IF(COUNT(E75:H75)=4,AVERAGE(E75:H75),"")</f>
        <v/>
      </c>
      <c r="L75" s="8" t="str">
        <f aca="false">IF(K75="","",IF(AND(K75&gt;=Summary!$B$3,I75&lt;=Summary!$B$4),"PASS","FAIL"))</f>
        <v/>
      </c>
    </row>
    <row r="76" customFormat="false" ht="31.5" hidden="false" customHeight="true" outlineLevel="0" collapsed="false">
      <c r="A76" s="8" t="str">
        <f aca="false">B76&amp;"-R"&amp;C76</f>
        <v>doc_15-R5</v>
      </c>
      <c r="B76" s="10" t="s">
        <v>57</v>
      </c>
      <c r="C76" s="10" t="n">
        <v>5</v>
      </c>
      <c r="D76" s="9"/>
      <c r="E76" s="11"/>
      <c r="F76" s="11"/>
      <c r="G76" s="11"/>
      <c r="H76" s="11"/>
      <c r="I76" s="11"/>
      <c r="J76" s="9"/>
      <c r="K76" s="8" t="str">
        <f aca="false">IF(COUNT(E76:H76)=4,AVERAGE(E76:H76),"")</f>
        <v/>
      </c>
      <c r="L76" s="8" t="str">
        <f aca="false">IF(K76="","",IF(AND(K76&gt;=Summary!$B$3,I76&lt;=Summary!$B$4),"PASS","FAIL"))</f>
        <v/>
      </c>
    </row>
  </sheetData>
  <dataValidations count="4">
    <dataValidation allowBlank="false" errorStyle="stop" operator="between" showDropDown="false" showErrorMessage="false" showInputMessage="false" sqref="B2:B76" type="list">
      <formula1>"doc_01,doc_02,doc_03,doc_04,doc_05,doc_06,doc_07,doc_08,doc_09,doc_10,doc_11,doc_12,doc_13,doc_14,doc_15"</formula1>
      <formula2>0</formula2>
    </dataValidation>
    <dataValidation allowBlank="false" errorStyle="stop" operator="between" showDropDown="false" showErrorMessage="false" showInputMessage="false" sqref="C2:C76" type="list">
      <formula1>"1,2,3,4,5"</formula1>
      <formula2>0</formula2>
    </dataValidation>
    <dataValidation allowBlank="true" errorStyle="stop" operator="between" showDropDown="false" showErrorMessage="false" showInputMessage="false" sqref="E2:H76" type="list">
      <formula1>"1,2,3,4,5"</formula1>
      <formula2>0</formula2>
    </dataValidation>
    <dataValidation allowBlank="true" errorStyle="stop" operator="between" showDropDown="false" showErrorMessage="false" showInputMessage="false" sqref="I2:I76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2" t="s">
        <v>70</v>
      </c>
    </row>
    <row r="2" customFormat="false" ht="15" hidden="false" customHeight="false" outlineLevel="0" collapsed="false">
      <c r="A2" s="4" t="s">
        <v>71</v>
      </c>
    </row>
    <row r="3" customFormat="false" ht="15" hidden="false" customHeight="false" outlineLevel="0" collapsed="false">
      <c r="A3" s="6" t="s">
        <v>72</v>
      </c>
      <c r="B3" s="13" t="n">
        <v>3.5</v>
      </c>
      <c r="C3" s="14" t="s">
        <v>73</v>
      </c>
    </row>
    <row r="4" customFormat="false" ht="15" hidden="false" customHeight="false" outlineLevel="0" collapsed="false">
      <c r="A4" s="6" t="s">
        <v>74</v>
      </c>
      <c r="B4" s="13" t="n">
        <v>0</v>
      </c>
      <c r="C4" s="14" t="s">
        <v>75</v>
      </c>
    </row>
    <row r="5" customFormat="false" ht="15" hidden="false" customHeight="false" outlineLevel="0" collapsed="false">
      <c r="A5" s="6" t="s">
        <v>76</v>
      </c>
      <c r="B5" s="13" t="n">
        <v>0.8</v>
      </c>
      <c r="C5" s="14" t="s">
        <v>77</v>
      </c>
    </row>
    <row r="7" customFormat="false" ht="15" hidden="false" customHeight="false" outlineLevel="0" collapsed="false">
      <c r="A7" s="4" t="s">
        <v>78</v>
      </c>
    </row>
    <row r="8" customFormat="false" ht="15" hidden="false" customHeight="false" outlineLevel="0" collapsed="false">
      <c r="A8" s="0" t="s">
        <v>79</v>
      </c>
      <c r="B8" s="0" t="n">
        <f aca="false">COUNT('Raw Scores'!K2:K76)</f>
        <v>0</v>
      </c>
    </row>
    <row r="9" customFormat="false" ht="15" hidden="false" customHeight="false" outlineLevel="0" collapsed="false">
      <c r="A9" s="0" t="s">
        <v>80</v>
      </c>
      <c r="B9" s="0" t="n">
        <f aca="false">75-B8</f>
        <v>75</v>
      </c>
    </row>
    <row r="11" customFormat="false" ht="15" hidden="false" customHeight="false" outlineLevel="0" collapsed="false">
      <c r="A11" s="4" t="s">
        <v>81</v>
      </c>
    </row>
    <row r="12" customFormat="false" ht="15" hidden="false" customHeight="false" outlineLevel="0" collapsed="false">
      <c r="A12" s="6" t="s">
        <v>82</v>
      </c>
      <c r="B12" s="15" t="str">
        <f aca="false">IF(B8=0,"",AVERAGE('Raw Scores'!K2:K76))</f>
        <v/>
      </c>
    </row>
    <row r="13" customFormat="false" ht="15" hidden="false" customHeight="false" outlineLevel="0" collapsed="false">
      <c r="A13" s="6" t="s">
        <v>83</v>
      </c>
      <c r="B13" s="15" t="str">
        <f aca="false">IF(B8=0,"",MEDIAN('Raw Scores'!K2:K76))</f>
        <v/>
      </c>
    </row>
    <row r="14" customFormat="false" ht="15" hidden="false" customHeight="false" outlineLevel="0" collapsed="false">
      <c r="A14" s="6" t="s">
        <v>84</v>
      </c>
      <c r="B14" s="15" t="n">
        <f aca="false">COUNTIF('Raw Scores'!L2:L76,"PASS")</f>
        <v>0</v>
      </c>
    </row>
    <row r="15" customFormat="false" ht="15" hidden="false" customHeight="false" outlineLevel="0" collapsed="false">
      <c r="A15" s="6" t="s">
        <v>85</v>
      </c>
      <c r="B15" s="15" t="str">
        <f aca="false">IF(B8=0,"",COUNTIF('Raw Scores'!L2:L76,"PASS")/B8)</f>
        <v/>
      </c>
    </row>
    <row r="16" customFormat="false" ht="15" hidden="false" customHeight="false" outlineLevel="0" collapsed="false">
      <c r="A16" s="6" t="s">
        <v>86</v>
      </c>
      <c r="B16" s="15" t="n">
        <f aca="false">COUNTIF('Raw Scores'!I2:I76,"&gt;0")</f>
        <v>0</v>
      </c>
    </row>
    <row r="17" customFormat="false" ht="15" hidden="false" customHeight="false" outlineLevel="0" collapsed="false">
      <c r="A17" s="6" t="s">
        <v>87</v>
      </c>
      <c r="B17" s="15" t="str">
        <f aca="false">IF(B8=0,"",COUNTIF('Raw Scores'!I2:I76,"&gt;0")/B8)</f>
        <v/>
      </c>
    </row>
    <row r="19" customFormat="false" ht="15" hidden="false" customHeight="false" outlineLevel="0" collapsed="false">
      <c r="A19" s="4" t="s">
        <v>88</v>
      </c>
      <c r="B19" s="16" t="str">
        <f aca="false">IF(B8&lt;75,"INCOMPLETE",IF(AND(B16&gt;=B5,B18&lt;=1-B5),"MODEL RETAINED","MODEL NOT RETAINED - review"))</f>
        <v>INCOMPLETE</v>
      </c>
    </row>
    <row r="20" customFormat="false" ht="43.25" hidden="false" customHeight="false" outlineLevel="0" collapsed="false">
      <c r="A20" s="17" t="s">
        <v>89</v>
      </c>
    </row>
    <row r="23" customFormat="false" ht="15" hidden="false" customHeight="false" outlineLevel="0" collapsed="false">
      <c r="A23" s="4" t="s">
        <v>90</v>
      </c>
    </row>
    <row r="24" customFormat="false" ht="15" hidden="false" customHeight="false" outlineLevel="0" collapsed="false">
      <c r="A24" s="0" t="s">
        <v>91</v>
      </c>
      <c r="B24" s="4" t="s">
        <v>92</v>
      </c>
      <c r="C24" s="4" t="s">
        <v>93</v>
      </c>
      <c r="D24" s="4" t="s">
        <v>94</v>
      </c>
      <c r="E24" s="4" t="s">
        <v>95</v>
      </c>
    </row>
    <row r="25" customFormat="false" ht="15" hidden="false" customHeight="false" outlineLevel="0" collapsed="false">
      <c r="A25" s="6" t="n">
        <v>1</v>
      </c>
      <c r="B25" s="15" t="n">
        <f aca="false">COUNTIF('Raw Scores'!E2:E76,1)</f>
        <v>0</v>
      </c>
      <c r="C25" s="15" t="n">
        <f aca="false">COUNTIF('Raw Scores'!F2:F76,1)</f>
        <v>0</v>
      </c>
      <c r="D25" s="15" t="n">
        <f aca="false">COUNTIF('Raw Scores'!G2:G76,1)</f>
        <v>0</v>
      </c>
      <c r="E25" s="15" t="n">
        <f aca="false">COUNTIF('Raw Scores'!H2:H76,1)</f>
        <v>0</v>
      </c>
    </row>
    <row r="26" customFormat="false" ht="15" hidden="false" customHeight="false" outlineLevel="0" collapsed="false">
      <c r="A26" s="6" t="n">
        <v>2</v>
      </c>
      <c r="B26" s="15" t="n">
        <f aca="false">COUNTIF('Raw Scores'!E2:E76,2)</f>
        <v>0</v>
      </c>
      <c r="C26" s="15" t="n">
        <f aca="false">COUNTIF('Raw Scores'!F2:F76,2)</f>
        <v>0</v>
      </c>
      <c r="D26" s="15" t="n">
        <f aca="false">COUNTIF('Raw Scores'!G2:G76,2)</f>
        <v>0</v>
      </c>
      <c r="E26" s="15" t="n">
        <f aca="false">COUNTIF('Raw Scores'!H2:H76,2)</f>
        <v>0</v>
      </c>
    </row>
    <row r="27" customFormat="false" ht="15" hidden="false" customHeight="false" outlineLevel="0" collapsed="false">
      <c r="A27" s="6" t="n">
        <v>3</v>
      </c>
      <c r="B27" s="15" t="n">
        <f aca="false">COUNTIF('Raw Scores'!E2:E76,3)</f>
        <v>0</v>
      </c>
      <c r="C27" s="15" t="n">
        <f aca="false">COUNTIF('Raw Scores'!F2:F76,3)</f>
        <v>0</v>
      </c>
      <c r="D27" s="15" t="n">
        <f aca="false">COUNTIF('Raw Scores'!G2:G76,3)</f>
        <v>0</v>
      </c>
      <c r="E27" s="15" t="n">
        <f aca="false">COUNTIF('Raw Scores'!H2:H76,3)</f>
        <v>0</v>
      </c>
    </row>
    <row r="28" customFormat="false" ht="15" hidden="false" customHeight="false" outlineLevel="0" collapsed="false">
      <c r="A28" s="6" t="n">
        <v>4</v>
      </c>
      <c r="B28" s="15" t="n">
        <f aca="false">COUNTIF('Raw Scores'!E2:E76,4)</f>
        <v>0</v>
      </c>
      <c r="C28" s="15" t="n">
        <f aca="false">COUNTIF('Raw Scores'!F2:F76,4)</f>
        <v>0</v>
      </c>
      <c r="D28" s="15" t="n">
        <f aca="false">COUNTIF('Raw Scores'!G2:G76,4)</f>
        <v>0</v>
      </c>
      <c r="E28" s="15" t="n">
        <f aca="false">COUNTIF('Raw Scores'!H2:H76,4)</f>
        <v>0</v>
      </c>
    </row>
    <row r="29" customFormat="false" ht="15" hidden="false" customHeight="false" outlineLevel="0" collapsed="false">
      <c r="A29" s="6" t="n">
        <v>5</v>
      </c>
      <c r="B29" s="15" t="n">
        <f aca="false">COUNTIF('Raw Scores'!E2:E76,5)</f>
        <v>0</v>
      </c>
      <c r="C29" s="15" t="n">
        <f aca="false">COUNTIF('Raw Scores'!F2:F76,5)</f>
        <v>0</v>
      </c>
      <c r="D29" s="15" t="n">
        <f aca="false">COUNTIF('Raw Scores'!G2:G76,5)</f>
        <v>0</v>
      </c>
      <c r="E29" s="15" t="n">
        <f aca="false">COUNTIF('Raw Scores'!H2:H76,5)</f>
        <v>0</v>
      </c>
    </row>
    <row r="31" customFormat="false" ht="15" hidden="false" customHeight="false" outlineLevel="0" collapsed="false">
      <c r="A31" s="4" t="s">
        <v>96</v>
      </c>
    </row>
    <row r="32" customFormat="false" ht="15" hidden="false" customHeight="false" outlineLevel="0" collapsed="false">
      <c r="A32" s="4" t="s">
        <v>26</v>
      </c>
      <c r="B32" s="4" t="s">
        <v>68</v>
      </c>
    </row>
    <row r="33" customFormat="false" ht="15" hidden="false" customHeight="false" outlineLevel="0" collapsed="false">
      <c r="A33" s="6" t="s">
        <v>29</v>
      </c>
      <c r="B33" s="15" t="str">
        <f aca="false">IFERROR(AVERAGEIFS('Raw Scores'!K$2:K$76,'Raw Scores'!B$2:B$76,A33),"")</f>
        <v/>
      </c>
    </row>
    <row r="34" customFormat="false" ht="15" hidden="false" customHeight="false" outlineLevel="0" collapsed="false">
      <c r="A34" s="6" t="s">
        <v>31</v>
      </c>
      <c r="B34" s="15" t="str">
        <f aca="false">IFERROR(AVERAGEIFS('Raw Scores'!K$2:K$76,'Raw Scores'!B$2:B$76,A34),"")</f>
        <v/>
      </c>
    </row>
    <row r="35" customFormat="false" ht="15" hidden="false" customHeight="false" outlineLevel="0" collapsed="false">
      <c r="A35" s="6" t="s">
        <v>33</v>
      </c>
      <c r="B35" s="15" t="str">
        <f aca="false">IFERROR(AVERAGEIFS('Raw Scores'!K$2:K$76,'Raw Scores'!B$2:B$76,A35),"")</f>
        <v/>
      </c>
    </row>
    <row r="36" customFormat="false" ht="15" hidden="false" customHeight="false" outlineLevel="0" collapsed="false">
      <c r="A36" s="6" t="s">
        <v>35</v>
      </c>
      <c r="B36" s="15" t="str">
        <f aca="false">IFERROR(AVERAGEIFS('Raw Scores'!K$2:K$76,'Raw Scores'!B$2:B$76,A36),"")</f>
        <v/>
      </c>
    </row>
    <row r="37" customFormat="false" ht="15" hidden="false" customHeight="false" outlineLevel="0" collapsed="false">
      <c r="A37" s="6" t="s">
        <v>37</v>
      </c>
      <c r="B37" s="15" t="str">
        <f aca="false">IFERROR(AVERAGEIFS('Raw Scores'!K$2:K$76,'Raw Scores'!B$2:B$76,A37),"")</f>
        <v/>
      </c>
    </row>
    <row r="38" customFormat="false" ht="15" hidden="false" customHeight="false" outlineLevel="0" collapsed="false">
      <c r="A38" s="6" t="s">
        <v>39</v>
      </c>
      <c r="B38" s="15" t="str">
        <f aca="false">IFERROR(AVERAGEIFS('Raw Scores'!K$2:K$76,'Raw Scores'!B$2:B$76,A38),"")</f>
        <v/>
      </c>
    </row>
    <row r="39" customFormat="false" ht="15" hidden="false" customHeight="false" outlineLevel="0" collapsed="false">
      <c r="A39" s="6" t="s">
        <v>41</v>
      </c>
      <c r="B39" s="15" t="str">
        <f aca="false">IFERROR(AVERAGEIFS('Raw Scores'!K$2:K$76,'Raw Scores'!B$2:B$76,A39),"")</f>
        <v/>
      </c>
    </row>
    <row r="40" customFormat="false" ht="15" hidden="false" customHeight="false" outlineLevel="0" collapsed="false">
      <c r="A40" s="6" t="s">
        <v>43</v>
      </c>
      <c r="B40" s="15" t="str">
        <f aca="false">IFERROR(AVERAGEIFS('Raw Scores'!K$2:K$76,'Raw Scores'!B$2:B$76,A40),"")</f>
        <v/>
      </c>
    </row>
    <row r="41" customFormat="false" ht="15" hidden="false" customHeight="false" outlineLevel="0" collapsed="false">
      <c r="A41" s="6" t="s">
        <v>45</v>
      </c>
      <c r="B41" s="15" t="str">
        <f aca="false">IFERROR(AVERAGEIFS('Raw Scores'!K$2:K$76,'Raw Scores'!B$2:B$76,A41),"")</f>
        <v/>
      </c>
    </row>
    <row r="42" customFormat="false" ht="15" hidden="false" customHeight="false" outlineLevel="0" collapsed="false">
      <c r="A42" s="6" t="s">
        <v>47</v>
      </c>
      <c r="B42" s="15" t="str">
        <f aca="false">IFERROR(AVERAGEIFS('Raw Scores'!K$2:K$76,'Raw Scores'!B$2:B$76,A42),"")</f>
        <v/>
      </c>
    </row>
    <row r="43" customFormat="false" ht="15" hidden="false" customHeight="false" outlineLevel="0" collapsed="false">
      <c r="A43" s="6" t="s">
        <v>49</v>
      </c>
      <c r="B43" s="15" t="str">
        <f aca="false">IFERROR(AVERAGEIFS('Raw Scores'!K$2:K$76,'Raw Scores'!B$2:B$76,A43),"")</f>
        <v/>
      </c>
    </row>
    <row r="44" customFormat="false" ht="15" hidden="false" customHeight="false" outlineLevel="0" collapsed="false">
      <c r="A44" s="6" t="s">
        <v>51</v>
      </c>
      <c r="B44" s="15" t="str">
        <f aca="false">IFERROR(AVERAGEIFS('Raw Scores'!K$2:K$76,'Raw Scores'!B$2:B$76,A44),"")</f>
        <v/>
      </c>
    </row>
    <row r="45" customFormat="false" ht="15" hidden="false" customHeight="false" outlineLevel="0" collapsed="false">
      <c r="A45" s="6" t="s">
        <v>53</v>
      </c>
      <c r="B45" s="15" t="str">
        <f aca="false">IFERROR(AVERAGEIFS('Raw Scores'!K$2:K$76,'Raw Scores'!B$2:B$76,A45),"")</f>
        <v/>
      </c>
    </row>
    <row r="46" customFormat="false" ht="15" hidden="false" customHeight="false" outlineLevel="0" collapsed="false">
      <c r="A46" s="6" t="s">
        <v>55</v>
      </c>
      <c r="B46" s="15" t="str">
        <f aca="false">IFERROR(AVERAGEIFS('Raw Scores'!K$2:K$76,'Raw Scores'!B$2:B$76,A46),"")</f>
        <v/>
      </c>
    </row>
    <row r="47" customFormat="false" ht="15" hidden="false" customHeight="false" outlineLevel="0" collapsed="false">
      <c r="A47" s="6" t="s">
        <v>57</v>
      </c>
      <c r="B47" s="15" t="str">
        <f aca="false">IFERROR(AVERAGEIFS('Raw Scores'!K$2:K$76,'Raw Scores'!B$2:B$76,A47),"")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2026-08-12T19:58:35Z</dcterms:created>
  <dc:creator>openpyxl</dc:creator>
  <dc:description/>
  <dc:language>en-US</dc:language>
  <cp:lastModifiedBy/>
  <dcterms:modified xsi:type="dcterms:W3CDTF">2026-08-12T19:58:35Z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